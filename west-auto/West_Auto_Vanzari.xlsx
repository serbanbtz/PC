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 completezi" sheetId="1" state="visible" r:id="rId1"/>
    <sheet name="Cifre interviu" sheetId="2" state="visible" r:id="rId2"/>
    <sheet name="Vanzari" sheetId="3" state="visible" r:id="rId3"/>
    <sheet name="Analiz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#,##0;(#,##0);-"/>
    <numFmt numFmtId="166" formatCode="#,##0 &quot;€&quot;;(#,##0 &quot;€&quot;);-"/>
    <numFmt numFmtId="167" formatCode="0.0%;(0.0%);-"/>
    <numFmt numFmtId="168" formatCode="0;-0;-"/>
    <numFmt numFmtId="169" formatCode="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i val="1"/>
    </font>
    <font>
      <name val="Arial"/>
      <i val="1"/>
      <sz val="9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1" fontId="4" fillId="3" borderId="1" pivotButton="0" quotePrefix="0" xfId="0"/>
    <xf numFmtId="0" fontId="7" fillId="0" borderId="0" pivotButton="0" quotePrefix="0" xfId="0"/>
    <xf numFmtId="0" fontId="5" fillId="2" borderId="1" applyAlignment="1" pivotButton="0" quotePrefix="0" xfId="0">
      <alignment vertical="center" wrapText="1"/>
    </xf>
    <xf numFmtId="165" fontId="8" fillId="4" borderId="1" pivotButton="0" quotePrefix="0" xfId="0"/>
    <xf numFmtId="0" fontId="2" fillId="0" borderId="1" applyAlignment="1" pivotButton="0" quotePrefix="0" xfId="0">
      <alignment vertical="top" wrapText="1"/>
    </xf>
    <xf numFmtId="167" fontId="8" fillId="4" borderId="1" pivotButton="0" quotePrefix="0" xfId="0"/>
    <xf numFmtId="167" fontId="2" fillId="4" borderId="1" pivotButton="0" quotePrefix="0" xfId="0"/>
    <xf numFmtId="1" fontId="8" fillId="4" borderId="1" pivotButton="0" quotePrefix="0" xfId="0"/>
    <xf numFmtId="169" fontId="8" fillId="4" borderId="1" pivotButton="0" quotePrefix="0" xfId="0"/>
    <xf numFmtId="1" fontId="2" fillId="4" borderId="1" pivotButton="0" quotePrefix="0" xfId="0"/>
    <xf numFmtId="0" fontId="4" fillId="3" borderId="1" pivotButton="0" quotePrefix="0" xfId="0"/>
    <xf numFmtId="164" fontId="4" fillId="3" borderId="0" pivotButton="0" quotePrefix="0" xfId="0"/>
    <xf numFmtId="0" fontId="4" fillId="3" borderId="0" pivotButton="0" quotePrefix="0" xfId="0"/>
    <xf numFmtId="1" fontId="4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166" fontId="2" fillId="4" borderId="0" pivotButton="0" quotePrefix="0" xfId="0"/>
    <xf numFmtId="167" fontId="2" fillId="4" borderId="0" pivotButton="0" quotePrefix="0" xfId="0"/>
    <xf numFmtId="165" fontId="2" fillId="4" borderId="0" pivotButton="0" quotePrefix="0" xfId="0"/>
    <xf numFmtId="1" fontId="2" fillId="4" borderId="0" pivotButton="0" quotePrefix="0" xfId="0"/>
    <xf numFmtId="0" fontId="2" fillId="4" borderId="0" pivotButton="0" quotePrefix="0" xfId="0"/>
    <xf numFmtId="165" fontId="2" fillId="0" borderId="1" pivotButton="0" quotePrefix="0" xfId="0"/>
    <xf numFmtId="167" fontId="2" fillId="0" borderId="1" pivotButton="0" quotePrefix="0" xfId="0"/>
    <xf numFmtId="166" fontId="2" fillId="0" borderId="1" pivotButton="0" quotePrefix="0" xfId="0"/>
    <xf numFmtId="168" fontId="2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167" fontId="3" fillId="0" borderId="1" pivotButton="0" quotePrefix="0" xfId="0"/>
    <xf numFmtId="166" fontId="3" fillId="0" borderId="1" pivotButton="0" quotePrefix="0" xfId="0"/>
    <xf numFmtId="168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West Auto</author>
  </authors>
  <commentList>
    <comment ref="I1" authorId="0" shapeId="0">
      <text>
        <t>Transport, RAR, înmatriculare, reparații, pregătire. Tot ce ai plătit până la vânzare.</t>
      </text>
    </comment>
    <comment ref="T1" authorId="0" shapeId="0">
      <text>
        <t>1 dacă mașina e Electric, Plug-in sau Hibrid.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West Auto · registrul de vânzări</t>
        </is>
      </c>
    </row>
    <row r="2">
      <c r="A2" s="2" t="inlineStr"/>
    </row>
    <row r="3">
      <c r="A3" s="3" t="inlineStr">
        <is>
          <t>Ce face fișierul</t>
        </is>
      </c>
    </row>
    <row r="4">
      <c r="A4" s="2" t="inlineStr">
        <is>
          <t>1. Treci fiecare mașină vândută pe un rând în foaia „Vanzari” (coloanele A–N).</t>
        </is>
      </c>
    </row>
    <row r="5">
      <c r="A5" s="2" t="inlineStr">
        <is>
          <t>2. Foaia „Analiza” calculează singură vânzările pe ani, marja, zilele în stoc, ponderea EV, finanțarea și recomandările.</t>
        </is>
      </c>
    </row>
    <row r="6">
      <c r="A6" s="2" t="inlineStr">
        <is>
          <t>3. Foaia „Cifre interviu” scoate cifrele care lipsesc din ghidul Tesla ([X]) și îți scrie propozițiile în engleză.</t>
        </is>
      </c>
    </row>
    <row r="7">
      <c r="A7" s="2" t="inlineStr"/>
    </row>
    <row r="8">
      <c r="A8" s="3" t="inlineStr">
        <is>
          <t>Culori</t>
        </is>
      </c>
    </row>
    <row r="9">
      <c r="A9" s="2" t="inlineStr">
        <is>
          <t>Text albastru pe fond galben = completezi tu. Text negru pe fond gri = formulă, nu o modifica.</t>
        </is>
      </c>
    </row>
    <row r="10">
      <c r="A10" s="2" t="inlineStr"/>
    </row>
    <row r="11">
      <c r="A11" s="3" t="inlineStr">
        <is>
          <t>Exemplu de rând completat (nu e în foaia de date, ca să nu strice statisticile):</t>
        </is>
      </c>
    </row>
    <row r="12">
      <c r="A12" s="3" t="inlineStr">
        <is>
          <t>Data achiziției</t>
        </is>
      </c>
      <c r="B12" s="3" t="inlineStr">
        <is>
          <t>Data vânzării</t>
        </is>
      </c>
      <c r="C12" s="3" t="inlineStr">
        <is>
          <t>Marcă</t>
        </is>
      </c>
      <c r="D12" s="3" t="inlineStr">
        <is>
          <t>Model</t>
        </is>
      </c>
      <c r="E12" s="3" t="inlineStr">
        <is>
          <t>An fabricație</t>
        </is>
      </c>
      <c r="F12" s="3" t="inlineStr">
        <is>
          <t>Combustibil</t>
        </is>
      </c>
      <c r="G12" s="3" t="inlineStr">
        <is>
          <t>Km</t>
        </is>
      </c>
      <c r="H12" s="3" t="inlineStr">
        <is>
          <t>Cost achiziție (€)</t>
        </is>
      </c>
      <c r="I12" s="3" t="inlineStr">
        <is>
          <t>Costuri import și pregătire (€)</t>
        </is>
      </c>
      <c r="J12" s="3" t="inlineStr">
        <is>
          <t>Preț vânzare (€)</t>
        </is>
      </c>
      <c r="K12" s="3" t="inlineStr">
        <is>
          <t>Finanțare</t>
        </is>
      </c>
      <c r="L12" s="3" t="inlineStr">
        <is>
          <t>Consultant</t>
        </is>
      </c>
      <c r="M12" s="3" t="inlineStr">
        <is>
          <t>Sursă client</t>
        </is>
      </c>
      <c r="N12" s="3" t="inlineStr">
        <is>
          <t>Reclamație</t>
        </is>
      </c>
    </row>
    <row r="13">
      <c r="A13" s="4" t="inlineStr">
        <is>
          <t>12.02.2025</t>
        </is>
      </c>
      <c r="B13" s="4" t="inlineStr">
        <is>
          <t>03.03.2025</t>
        </is>
      </c>
      <c r="C13" s="4" t="inlineStr">
        <is>
          <t>Tesla</t>
        </is>
      </c>
      <c r="D13" s="4" t="inlineStr">
        <is>
          <t>Model 3</t>
        </is>
      </c>
      <c r="E13" s="4" t="n">
        <v>2021</v>
      </c>
      <c r="F13" s="4" t="inlineStr">
        <is>
          <t>Electric</t>
        </is>
      </c>
      <c r="G13" s="4" t="n">
        <v>68000</v>
      </c>
      <c r="H13" s="4" t="n">
        <v>21500</v>
      </c>
      <c r="I13" s="4" t="n">
        <v>1400</v>
      </c>
      <c r="J13" s="4" t="n">
        <v>25900</v>
      </c>
      <c r="K13" s="4" t="inlineStr">
        <is>
          <t>Da</t>
        </is>
      </c>
      <c r="L13" s="4" t="inlineStr">
        <is>
          <t>Andrei</t>
        </is>
      </c>
      <c r="M13" s="4" t="inlineStr">
        <is>
          <t>Recomandare</t>
        </is>
      </c>
      <c r="N13" s="4" t="inlineStr">
        <is>
          <t>Nu</t>
        </is>
      </c>
    </row>
    <row r="14">
      <c r="A14" s="2" t="inlineStr"/>
    </row>
    <row r="15">
      <c r="A15" s="3" t="inlineStr">
        <is>
          <t>Reguli</t>
        </is>
      </c>
    </row>
    <row r="16">
      <c r="A16" s="2" t="inlineStr">
        <is>
          <t>• Datele se scriu ca dată (ex. 03.03.2025), nu ca text.</t>
        </is>
      </c>
    </row>
    <row r="17">
      <c r="A17" s="2" t="inlineStr">
        <is>
          <t>• Combustibil, Finanțare, Sursă client și Reclamație au listă: alegi din meniul celulei.</t>
        </is>
      </c>
    </row>
    <row r="18">
      <c r="A18" s="2" t="inlineStr">
        <is>
          <t>• Costuri import și pregătire = transport, RAR, înmatriculare, reparații, curățenie. Tot ce ai plătit până la vânzare.</t>
        </is>
      </c>
    </row>
    <row r="19">
      <c r="A19" s="2" t="inlineStr">
        <is>
          <t>• Sumele sunt în euro, fără TVA dacă așa ții evidența. Important e să faci la fel pe toate rândurile.</t>
        </is>
      </c>
    </row>
    <row r="20">
      <c r="A20" s="2" t="inlineStr">
        <is>
          <t>• Nu ai date pentru toți anii? Completează ce ai. Formulele ignoră rândurile goale.</t>
        </is>
      </c>
    </row>
    <row r="21">
      <c r="A21" s="2" t="inlineStr">
        <is>
          <t>• Foaia are loc pentru 1.000 de mașini.</t>
        </is>
      </c>
    </row>
    <row r="22">
      <c r="A22" s="2" t="inlineStr"/>
    </row>
    <row r="23">
      <c r="A23" s="2" t="inlineStr">
        <is>
          <t>Sursa datelor: completate de tine din evidența West Auto. Nicio cifră din fișier nu e inventată.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26" customWidth="1" min="3" max="3"/>
    <col width="62" customWidth="1" min="4" max="4"/>
  </cols>
  <sheetData>
    <row r="1">
      <c r="A1" s="1" t="inlineStr">
        <is>
          <t>Cifrele pentru ghidul Tesla</t>
        </is>
      </c>
    </row>
    <row r="2">
      <c r="A2" s="5" t="inlineStr">
        <is>
          <t>Coloana B se calculează din vânzări sau o completezi tu (galben). Coloana D îți dă propoziția în engleză, gata de spus.</t>
        </is>
      </c>
    </row>
    <row r="4">
      <c r="A4" s="3" t="inlineStr">
        <is>
          <t>Setări</t>
        </is>
      </c>
    </row>
    <row r="5">
      <c r="A5" s="6" t="inlineStr">
        <is>
          <t>Anul trecut (ultimul an complet)</t>
        </is>
      </c>
      <c r="B5" s="7" t="n">
        <v>2025</v>
      </c>
      <c r="C5" s="8" t="inlineStr">
        <is>
          <t>Pentru „Last year we sold [X] cars”.</t>
        </is>
      </c>
    </row>
    <row r="6">
      <c r="A6" s="6" t="inlineStr">
        <is>
          <t>Anul în care ai preluat firma</t>
        </is>
      </c>
      <c r="B6" s="7" t="n">
        <v>2021</v>
      </c>
      <c r="C6" s="8" t="inlineStr">
        <is>
          <t>Pentru „from [X] cars a year when I took over”. Schimbă-l cu anul real.</t>
        </is>
      </c>
    </row>
    <row r="7">
      <c r="A7" s="6" t="inlineStr">
        <is>
          <t>Câți oameni ai în echipă acum</t>
        </is>
      </c>
      <c r="B7" s="7" t="n"/>
      <c r="C7" s="8" t="inlineStr">
        <is>
          <t>Nu se poate calcula din vânzări. Completează tu.</t>
        </is>
      </c>
    </row>
    <row r="8">
      <c r="A8" s="6" t="inlineStr">
        <is>
          <t>Câți oameni ai angajat de-a lungul timpului</t>
        </is>
      </c>
      <c r="B8" s="7" t="n"/>
      <c r="C8" s="8" t="inlineStr">
        <is>
          <t>Ajută la întrebarea despre construirea echipei.</t>
        </is>
      </c>
    </row>
    <row r="10">
      <c r="A10" s="3" t="inlineStr">
        <is>
          <t>Cifrele calculate</t>
        </is>
      </c>
    </row>
    <row r="11" ht="34" customHeight="1">
      <c r="A11" s="9" t="inlineStr">
        <is>
          <t>Ce</t>
        </is>
      </c>
      <c r="B11" s="9" t="inlineStr">
        <is>
          <t>Cifra</t>
        </is>
      </c>
      <c r="C11" s="9" t="inlineStr">
        <is>
          <t>Unde intră în ghid</t>
        </is>
      </c>
      <c r="D11" s="9" t="inlineStr">
        <is>
          <t>Ce spui (EN)</t>
        </is>
      </c>
    </row>
    <row r="12">
      <c r="A12" s="6" t="inlineStr">
        <is>
          <t>Mașini vândute anul trecut</t>
        </is>
      </c>
      <c r="B12" s="10">
        <f>IFERROR(INDEX(Analiza!$B$6:$B$13,MATCH($B$5,Analiza!$A$6:$A$13,0)),0)</f>
        <v/>
      </c>
      <c r="C12" s="6" t="inlineStr">
        <is>
          <t>Q1 Tell me about yourself</t>
        </is>
      </c>
      <c r="D12" s="11">
        <f>"Last year we sold "&amp;TEXT(B12,"0")&amp;" cars."</f>
        <v/>
      </c>
    </row>
    <row r="13">
      <c r="A13" s="6" t="inlineStr">
        <is>
          <t>% electrice sau hibride anul trecut</t>
        </is>
      </c>
      <c r="B13" s="12">
        <f>IFERROR(INDEX(Analiza!$D$6:$D$13,MATCH($B$5,Analiza!$A$6:$A$13,0)),0)</f>
        <v/>
      </c>
      <c r="C13" s="6" t="inlineStr">
        <is>
          <t>Q1, Q2</t>
        </is>
      </c>
      <c r="D13" s="11">
        <f>"Last year "&amp;TEXT(B13,"0%")&amp;" of the cars we sold were electric or hybrid."</f>
        <v/>
      </c>
    </row>
    <row r="14">
      <c r="A14" s="6" t="inlineStr">
        <is>
          <t>Mașini vândute în anul preluării</t>
        </is>
      </c>
      <c r="B14" s="10">
        <f>IFERROR(INDEX(Analiza!$B$6:$B$13,MATCH($B$6,Analiza!$A$6:$A$13,0)),0)</f>
        <v/>
      </c>
      <c r="C14" s="6" t="inlineStr">
        <is>
          <t>Q3 follow-up: next level</t>
        </is>
      </c>
      <c r="D14" s="11">
        <f>IF(B12&gt;=B14,"We grew from "&amp;TEXT(B14,"0")&amp;" cars a year when I took over to "&amp;TEXT(B12,"0")&amp;" last year.","Sales went from "&amp;TEXT(B14,"0")&amp;" to "&amp;TEXT(B12,"0")&amp;" cars a year. Think about how to frame this before Thursday.")</f>
        <v/>
      </c>
    </row>
    <row r="15">
      <c r="A15" s="6" t="inlineStr">
        <is>
          <t>% electrice sau hibride în anul preluării</t>
        </is>
      </c>
      <c r="B15" s="12">
        <f>IFERROR(INDEX(Analiza!$D$6:$D$13,MATCH($B$6,Analiza!$A$6:$A$13,0)),0)</f>
        <v/>
      </c>
      <c r="C15" s="6" t="inlineStr">
        <is>
          <t>Q16 Market shift</t>
        </is>
      </c>
      <c r="D15" s="11">
        <f>"EVs and hybrids went from "&amp;TEXT(B15,"0%")&amp;" of our sales in "&amp;TEXT($B$6,"0")&amp;" to "&amp;TEXT(B13,"0%")&amp;" in "&amp;TEXT($B$5,"0")&amp;"."</f>
        <v/>
      </c>
    </row>
    <row r="16">
      <c r="A16" s="6" t="inlineStr">
        <is>
          <t>Creștere vânzări, anul preluării → anul trecut</t>
        </is>
      </c>
      <c r="B16" s="13">
        <f>IF(B14=0,0,B12/B14-1)</f>
        <v/>
      </c>
      <c r="C16" s="6" t="inlineStr">
        <is>
          <t>Q3 follow-up</t>
        </is>
      </c>
      <c r="D16" s="11">
        <f>IF(B14=0,"Fill in sales for the takeover year first.",IF(B16&gt;=0,"That is "&amp;TEXT(B16,"0%")&amp;" growth.","Sales are "&amp;TEXT(-B16,"0%")&amp;" lower than in the takeover year. Do not use this line."))</f>
        <v/>
      </c>
    </row>
    <row r="17">
      <c r="A17" s="6" t="inlineStr">
        <is>
          <t>Zile medii în stoc (toți anii)</t>
        </is>
      </c>
      <c r="B17" s="14">
        <f>Analiza!$J$14</f>
        <v/>
      </c>
      <c r="C17" s="6" t="inlineStr">
        <is>
          <t>Doar dacă te întreabă de operațiuni</t>
        </is>
      </c>
      <c r="D17" s="11">
        <f>"On average a car spent "&amp;TEXT(B17,"0")&amp;" days in stock."</f>
        <v/>
      </c>
    </row>
    <row r="18">
      <c r="A18" s="6" t="inlineStr">
        <is>
          <t>% clienți cu finanțare (toți anii)</t>
        </is>
      </c>
      <c r="B18" s="12">
        <f>Analiza!$K$14</f>
        <v/>
      </c>
      <c r="C18" s="6" t="inlineStr">
        <is>
          <t>Q4 Underperformer (finanțare)</t>
        </is>
      </c>
      <c r="D18" s="11">
        <f>"About "&amp;TEXT(B18,"0%")&amp;" of our customers bought with financing or leasing."</f>
        <v/>
      </c>
    </row>
    <row r="19">
      <c r="A19" s="6" t="inlineStr">
        <is>
          <t>% clienți din recomandări (toți anii)</t>
        </is>
      </c>
      <c r="B19" s="12">
        <f>Analiza!$L$14</f>
        <v/>
      </c>
      <c r="C19" s="6" t="inlineStr">
        <is>
          <t>Q12, Q13 (recomandări)</t>
        </is>
      </c>
      <c r="D19" s="11">
        <f>"About "&amp;TEXT(B19,"0%")&amp;" of our customers came through referrals."</f>
        <v/>
      </c>
    </row>
    <row r="20">
      <c r="A20" s="6" t="inlineStr">
        <is>
          <t>Reclamații la 100 de mașini (toți anii)</t>
        </is>
      </c>
      <c r="B20" s="15">
        <f>IF(Analiza!$B$14=0,0,Analiza!$M$14/Analiza!$B$14*100)</f>
        <v/>
      </c>
      <c r="C20" s="6" t="inlineStr">
        <is>
          <t>Q11 Difficult customer</t>
        </is>
      </c>
      <c r="D20" s="11">
        <f>"We had "&amp;TEXT(B20,"0.0")&amp;" complaints per 100 cars sold."</f>
        <v/>
      </c>
    </row>
    <row r="21">
      <c r="A21" s="6" t="inlineStr">
        <is>
          <t>Mărimea echipei</t>
        </is>
      </c>
      <c r="B21" s="16">
        <f>IF($B$7="","",$B$7)</f>
        <v/>
      </c>
      <c r="C21" s="6" t="inlineStr">
        <is>
          <t>Q1, Q3</t>
        </is>
      </c>
      <c r="D21" s="11">
        <f>IF(B21="","Fill in your team size in B7.","I lead a team of "&amp;TEXT(B21,"0")&amp;" people.")</f>
        <v/>
      </c>
    </row>
    <row r="24">
      <c r="A24" s="3" t="inlineStr">
        <is>
          <t>Cifre pe care le știi doar tu (completează din memorie, aproximativ e în regulă)</t>
        </is>
      </c>
    </row>
    <row r="25" ht="34" customHeight="1">
      <c r="A25" s="9" t="inlineStr">
        <is>
          <t>Ce</t>
        </is>
      </c>
      <c r="B25" s="9" t="inlineStr">
        <is>
          <t>Cifra</t>
        </is>
      </c>
      <c r="C25" s="9" t="inlineStr">
        <is>
          <t>Unde intră în ghid</t>
        </is>
      </c>
      <c r="D25" s="9" t="inlineStr">
        <is>
          <t>Notă</t>
        </is>
      </c>
    </row>
    <row r="26">
      <c r="A26" s="11" t="inlineStr">
        <is>
          <t>Test drive-uri pe lună ale consultantului din povestea cu finanțarea</t>
        </is>
      </c>
      <c r="B26" s="17" t="n"/>
      <c r="C26" s="6" t="inlineStr">
        <is>
          <t>Q4</t>
        </is>
      </c>
      <c r="D26" s="11" t="inlineStr">
        <is>
          <t>Aproximativ.</t>
        </is>
      </c>
    </row>
    <row r="27">
      <c r="A27" s="11" t="inlineStr">
        <is>
          <t>Conversia lui înainte de coaching (%)</t>
        </is>
      </c>
      <c r="B27" s="17" t="n"/>
      <c r="C27" s="6" t="inlineStr">
        <is>
          <t>Q4</t>
        </is>
      </c>
      <c r="D27" s="11" t="inlineStr">
        <is>
          <t>Ex. 15%.</t>
        </is>
      </c>
    </row>
    <row r="28">
      <c r="A28" s="11" t="inlineStr">
        <is>
          <t>Conversia lui după coaching (%)</t>
        </is>
      </c>
      <c r="B28" s="17" t="n"/>
      <c r="C28" s="6" t="inlineStr">
        <is>
          <t>Q4</t>
        </is>
      </c>
      <c r="D28" s="11" t="inlineStr"/>
    </row>
    <row r="29">
      <c r="A29" s="11" t="inlineStr">
        <is>
          <t>Media de conversie a echipei (%)</t>
        </is>
      </c>
      <c r="B29" s="17" t="n"/>
      <c r="C29" s="6" t="inlineStr">
        <is>
          <t>Q4</t>
        </is>
      </c>
      <c r="D29" s="11" t="inlineStr"/>
    </row>
    <row r="30">
      <c r="A30" s="11" t="inlineStr">
        <is>
          <t>În câte săptămâni s-a văzut rezultatul</t>
        </is>
      </c>
      <c r="B30" s="17" t="n"/>
      <c r="C30" s="6" t="inlineStr">
        <is>
          <t>Q4</t>
        </is>
      </c>
      <c r="D30" s="11" t="inlineStr"/>
    </row>
    <row r="31">
      <c r="A31" s="11" t="inlineStr">
        <is>
          <t>Livrări în săptămâna cu conflictul</t>
        </is>
      </c>
      <c r="B31" s="17" t="n"/>
      <c r="C31" s="6" t="inlineStr">
        <is>
          <t>Q6</t>
        </is>
      </c>
      <c r="D31" s="11" t="inlineStr"/>
    </row>
    <row r="32">
      <c r="A32" s="11" t="inlineStr">
        <is>
          <t>Câte mașini ai avut în luna cu întârzierea la import (vs. plan)</t>
        </is>
      </c>
      <c r="B32" s="17" t="n"/>
      <c r="C32" s="6" t="inlineStr">
        <is>
          <t>Q9</t>
        </is>
      </c>
      <c r="D32" s="11" t="inlineStr">
        <is>
          <t>Ex. 6 în loc de 10.</t>
        </is>
      </c>
    </row>
    <row r="33">
      <c r="A33" s="11" t="inlineStr">
        <is>
          <t>Câte zile a durat reparația clientului ANPC</t>
        </is>
      </c>
      <c r="B33" s="17" t="n"/>
      <c r="C33" s="6" t="inlineStr">
        <is>
          <t>Q11</t>
        </is>
      </c>
      <c r="D33" s="11" t="inlineStr">
        <is>
          <t>Ghidul spune 5. Verifică.</t>
        </is>
      </c>
    </row>
    <row r="34">
      <c r="A34" s="11" t="inlineStr">
        <is>
          <t>Câți clienți ți-a recomandat clientul din povestea cu weekendul</t>
        </is>
      </c>
      <c r="B34" s="17" t="n"/>
      <c r="C34" s="6" t="inlineStr">
        <is>
          <t>Q12</t>
        </is>
      </c>
      <c r="D34" s="11" t="inlineStr"/>
    </row>
    <row r="35">
      <c r="A35" s="11" t="inlineStr">
        <is>
          <t>Câți din 10 clienți întreabă întâi de electrice</t>
        </is>
      </c>
      <c r="B35" s="17" t="n"/>
      <c r="C35" s="6" t="inlineStr">
        <is>
          <t>Q2</t>
        </is>
      </c>
      <c r="D35" s="11" t="inlineStr">
        <is>
          <t>Spune cifra reală, nu 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4" customWidth="1" min="4" max="4"/>
    <col width="10" customWidth="1" min="5" max="5"/>
    <col width="12" customWidth="1" min="6" max="6"/>
    <col width="10" customWidth="1" min="7" max="7"/>
    <col width="13" customWidth="1" min="8" max="8"/>
    <col width="15" customWidth="1" min="9" max="9"/>
    <col width="13" customWidth="1" min="10" max="10"/>
    <col width="10" customWidth="1" min="11" max="11"/>
    <col width="13" customWidth="1" min="12" max="12"/>
    <col width="13" customWidth="1" min="13" max="13"/>
    <col width="11" customWidth="1" min="14" max="14"/>
    <col width="13" customWidth="1" min="15" max="15"/>
    <col width="12" customWidth="1" min="16" max="16"/>
    <col width="10" customWidth="1" min="17" max="17"/>
    <col width="10" customWidth="1" min="18" max="18"/>
    <col width="10" customWidth="1" min="19" max="19"/>
    <col width="11" customWidth="1" min="20" max="20"/>
  </cols>
  <sheetData>
    <row r="1" ht="34" customHeight="1">
      <c r="A1" s="9" t="inlineStr">
        <is>
          <t>Data achiziției</t>
        </is>
      </c>
      <c r="B1" s="9" t="inlineStr">
        <is>
          <t>Data vânzării</t>
        </is>
      </c>
      <c r="C1" s="9" t="inlineStr">
        <is>
          <t>Marcă</t>
        </is>
      </c>
      <c r="D1" s="9" t="inlineStr">
        <is>
          <t>Model</t>
        </is>
      </c>
      <c r="E1" s="9" t="inlineStr">
        <is>
          <t>An fabricație</t>
        </is>
      </c>
      <c r="F1" s="9" t="inlineStr">
        <is>
          <t>Combustibil</t>
        </is>
      </c>
      <c r="G1" s="9" t="inlineStr">
        <is>
          <t>Km</t>
        </is>
      </c>
      <c r="H1" s="9" t="inlineStr">
        <is>
          <t>Cost achiziție (€)</t>
        </is>
      </c>
      <c r="I1" s="9" t="inlineStr">
        <is>
          <t>Costuri import și pregătire (€)</t>
        </is>
      </c>
      <c r="J1" s="9" t="inlineStr">
        <is>
          <t>Preț vânzare (€)</t>
        </is>
      </c>
      <c r="K1" s="9" t="inlineStr">
        <is>
          <t>Finanțare</t>
        </is>
      </c>
      <c r="L1" s="9" t="inlineStr">
        <is>
          <t>Consultant</t>
        </is>
      </c>
      <c r="M1" s="9" t="inlineStr">
        <is>
          <t>Sursă client</t>
        </is>
      </c>
      <c r="N1" s="9" t="inlineStr">
        <is>
          <t>Reclamație</t>
        </is>
      </c>
      <c r="O1" s="9" t="inlineStr">
        <is>
          <t>Cost total (€)</t>
        </is>
      </c>
      <c r="P1" s="9" t="inlineStr">
        <is>
          <t>Marjă (€)</t>
        </is>
      </c>
      <c r="Q1" s="9" t="inlineStr">
        <is>
          <t>Marjă %</t>
        </is>
      </c>
      <c r="R1" s="9" t="inlineStr">
        <is>
          <t>Zile în stoc</t>
        </is>
      </c>
      <c r="S1" s="9" t="inlineStr">
        <is>
          <t>An vânzare</t>
        </is>
      </c>
      <c r="T1" s="9" t="inlineStr">
        <is>
          <t>Electrificat (1/0)</t>
        </is>
      </c>
    </row>
    <row r="2">
      <c r="A2" s="18" t="n"/>
      <c r="B2" s="18" t="n"/>
      <c r="C2" s="19" t="n"/>
      <c r="D2" s="19" t="n"/>
      <c r="E2" s="20" t="n"/>
      <c r="F2" s="19" t="n"/>
      <c r="G2" s="21" t="n"/>
      <c r="H2" s="22" t="n"/>
      <c r="I2" s="22" t="n"/>
      <c r="J2" s="22" t="n"/>
      <c r="K2" s="19" t="n"/>
      <c r="L2" s="19" t="n"/>
      <c r="M2" s="19" t="n"/>
      <c r="N2" s="19" t="n"/>
      <c r="O2" s="23">
        <f>IF(J2="","",H2+I2)</f>
        <v/>
      </c>
      <c r="P2" s="23">
        <f>IF(J2="","",J2-O2)</f>
        <v/>
      </c>
      <c r="Q2" s="24">
        <f>IF(OR(J2="",J2=0),"",P2/J2)</f>
        <v/>
      </c>
      <c r="R2" s="25">
        <f>IF(OR(A2="",B2=""),"",B2-A2)</f>
        <v/>
      </c>
      <c r="S2" s="26">
        <f>IF(B2="","",YEAR(B2))</f>
        <v/>
      </c>
      <c r="T2" s="27">
        <f>IF(B2="","",IF(OR(F2="Electric",F2="Plug-in",F2="Hibrid"),1,0))</f>
        <v/>
      </c>
    </row>
    <row r="3">
      <c r="A3" s="18" t="n"/>
      <c r="B3" s="18" t="n"/>
      <c r="C3" s="19" t="n"/>
      <c r="D3" s="19" t="n"/>
      <c r="E3" s="20" t="n"/>
      <c r="F3" s="19" t="n"/>
      <c r="G3" s="21" t="n"/>
      <c r="H3" s="22" t="n"/>
      <c r="I3" s="22" t="n"/>
      <c r="J3" s="22" t="n"/>
      <c r="K3" s="19" t="n"/>
      <c r="L3" s="19" t="n"/>
      <c r="M3" s="19" t="n"/>
      <c r="N3" s="19" t="n"/>
      <c r="O3" s="23">
        <f>IF(J3="","",H3+I3)</f>
        <v/>
      </c>
      <c r="P3" s="23">
        <f>IF(J3="","",J3-O3)</f>
        <v/>
      </c>
      <c r="Q3" s="24">
        <f>IF(OR(J3="",J3=0),"",P3/J3)</f>
        <v/>
      </c>
      <c r="R3" s="25">
        <f>IF(OR(A3="",B3=""),"",B3-A3)</f>
        <v/>
      </c>
      <c r="S3" s="26">
        <f>IF(B3="","",YEAR(B3))</f>
        <v/>
      </c>
      <c r="T3" s="27">
        <f>IF(B3="","",IF(OR(F3="Electric",F3="Plug-in",F3="Hibrid"),1,0))</f>
        <v/>
      </c>
    </row>
    <row r="4">
      <c r="A4" s="18" t="n"/>
      <c r="B4" s="18" t="n"/>
      <c r="C4" s="19" t="n"/>
      <c r="D4" s="19" t="n"/>
      <c r="E4" s="20" t="n"/>
      <c r="F4" s="19" t="n"/>
      <c r="G4" s="21" t="n"/>
      <c r="H4" s="22" t="n"/>
      <c r="I4" s="22" t="n"/>
      <c r="J4" s="22" t="n"/>
      <c r="K4" s="19" t="n"/>
      <c r="L4" s="19" t="n"/>
      <c r="M4" s="19" t="n"/>
      <c r="N4" s="19" t="n"/>
      <c r="O4" s="23">
        <f>IF(J4="","",H4+I4)</f>
        <v/>
      </c>
      <c r="P4" s="23">
        <f>IF(J4="","",J4-O4)</f>
        <v/>
      </c>
      <c r="Q4" s="24">
        <f>IF(OR(J4="",J4=0),"",P4/J4)</f>
        <v/>
      </c>
      <c r="R4" s="25">
        <f>IF(OR(A4="",B4=""),"",B4-A4)</f>
        <v/>
      </c>
      <c r="S4" s="26">
        <f>IF(B4="","",YEAR(B4))</f>
        <v/>
      </c>
      <c r="T4" s="27">
        <f>IF(B4="","",IF(OR(F4="Electric",F4="Plug-in",F4="Hibrid"),1,0))</f>
        <v/>
      </c>
    </row>
    <row r="5">
      <c r="A5" s="18" t="n"/>
      <c r="B5" s="18" t="n"/>
      <c r="C5" s="19" t="n"/>
      <c r="D5" s="19" t="n"/>
      <c r="E5" s="20" t="n"/>
      <c r="F5" s="19" t="n"/>
      <c r="G5" s="21" t="n"/>
      <c r="H5" s="22" t="n"/>
      <c r="I5" s="22" t="n"/>
      <c r="J5" s="22" t="n"/>
      <c r="K5" s="19" t="n"/>
      <c r="L5" s="19" t="n"/>
      <c r="M5" s="19" t="n"/>
      <c r="N5" s="19" t="n"/>
      <c r="O5" s="23">
        <f>IF(J5="","",H5+I5)</f>
        <v/>
      </c>
      <c r="P5" s="23">
        <f>IF(J5="","",J5-O5)</f>
        <v/>
      </c>
      <c r="Q5" s="24">
        <f>IF(OR(J5="",J5=0),"",P5/J5)</f>
        <v/>
      </c>
      <c r="R5" s="25">
        <f>IF(OR(A5="",B5=""),"",B5-A5)</f>
        <v/>
      </c>
      <c r="S5" s="26">
        <f>IF(B5="","",YEAR(B5))</f>
        <v/>
      </c>
      <c r="T5" s="27">
        <f>IF(B5="","",IF(OR(F5="Electric",F5="Plug-in",F5="Hibrid"),1,0))</f>
        <v/>
      </c>
    </row>
    <row r="6">
      <c r="A6" s="18" t="n"/>
      <c r="B6" s="18" t="n"/>
      <c r="C6" s="19" t="n"/>
      <c r="D6" s="19" t="n"/>
      <c r="E6" s="20" t="n"/>
      <c r="F6" s="19" t="n"/>
      <c r="G6" s="21" t="n"/>
      <c r="H6" s="22" t="n"/>
      <c r="I6" s="22" t="n"/>
      <c r="J6" s="22" t="n"/>
      <c r="K6" s="19" t="n"/>
      <c r="L6" s="19" t="n"/>
      <c r="M6" s="19" t="n"/>
      <c r="N6" s="19" t="n"/>
      <c r="O6" s="23">
        <f>IF(J6="","",H6+I6)</f>
        <v/>
      </c>
      <c r="P6" s="23">
        <f>IF(J6="","",J6-O6)</f>
        <v/>
      </c>
      <c r="Q6" s="24">
        <f>IF(OR(J6="",J6=0),"",P6/J6)</f>
        <v/>
      </c>
      <c r="R6" s="25">
        <f>IF(OR(A6="",B6=""),"",B6-A6)</f>
        <v/>
      </c>
      <c r="S6" s="26">
        <f>IF(B6="","",YEAR(B6))</f>
        <v/>
      </c>
      <c r="T6" s="27">
        <f>IF(B6="","",IF(OR(F6="Electric",F6="Plug-in",F6="Hibrid"),1,0))</f>
        <v/>
      </c>
    </row>
    <row r="7">
      <c r="A7" s="18" t="n"/>
      <c r="B7" s="18" t="n"/>
      <c r="C7" s="19" t="n"/>
      <c r="D7" s="19" t="n"/>
      <c r="E7" s="20" t="n"/>
      <c r="F7" s="19" t="n"/>
      <c r="G7" s="21" t="n"/>
      <c r="H7" s="22" t="n"/>
      <c r="I7" s="22" t="n"/>
      <c r="J7" s="22" t="n"/>
      <c r="K7" s="19" t="n"/>
      <c r="L7" s="19" t="n"/>
      <c r="M7" s="19" t="n"/>
      <c r="N7" s="19" t="n"/>
      <c r="O7" s="23">
        <f>IF(J7="","",H7+I7)</f>
        <v/>
      </c>
      <c r="P7" s="23">
        <f>IF(J7="","",J7-O7)</f>
        <v/>
      </c>
      <c r="Q7" s="24">
        <f>IF(OR(J7="",J7=0),"",P7/J7)</f>
        <v/>
      </c>
      <c r="R7" s="25">
        <f>IF(OR(A7="",B7=""),"",B7-A7)</f>
        <v/>
      </c>
      <c r="S7" s="26">
        <f>IF(B7="","",YEAR(B7))</f>
        <v/>
      </c>
      <c r="T7" s="27">
        <f>IF(B7="","",IF(OR(F7="Electric",F7="Plug-in",F7="Hibrid"),1,0))</f>
        <v/>
      </c>
    </row>
    <row r="8">
      <c r="A8" s="18" t="n"/>
      <c r="B8" s="18" t="n"/>
      <c r="C8" s="19" t="n"/>
      <c r="D8" s="19" t="n"/>
      <c r="E8" s="20" t="n"/>
      <c r="F8" s="19" t="n"/>
      <c r="G8" s="21" t="n"/>
      <c r="H8" s="22" t="n"/>
      <c r="I8" s="22" t="n"/>
      <c r="J8" s="22" t="n"/>
      <c r="K8" s="19" t="n"/>
      <c r="L8" s="19" t="n"/>
      <c r="M8" s="19" t="n"/>
      <c r="N8" s="19" t="n"/>
      <c r="O8" s="23">
        <f>IF(J8="","",H8+I8)</f>
        <v/>
      </c>
      <c r="P8" s="23">
        <f>IF(J8="","",J8-O8)</f>
        <v/>
      </c>
      <c r="Q8" s="24">
        <f>IF(OR(J8="",J8=0),"",P8/J8)</f>
        <v/>
      </c>
      <c r="R8" s="25">
        <f>IF(OR(A8="",B8=""),"",B8-A8)</f>
        <v/>
      </c>
      <c r="S8" s="26">
        <f>IF(B8="","",YEAR(B8))</f>
        <v/>
      </c>
      <c r="T8" s="27">
        <f>IF(B8="","",IF(OR(F8="Electric",F8="Plug-in",F8="Hibrid"),1,0))</f>
        <v/>
      </c>
    </row>
    <row r="9">
      <c r="A9" s="18" t="n"/>
      <c r="B9" s="18" t="n"/>
      <c r="C9" s="19" t="n"/>
      <c r="D9" s="19" t="n"/>
      <c r="E9" s="20" t="n"/>
      <c r="F9" s="19" t="n"/>
      <c r="G9" s="21" t="n"/>
      <c r="H9" s="22" t="n"/>
      <c r="I9" s="22" t="n"/>
      <c r="J9" s="22" t="n"/>
      <c r="K9" s="19" t="n"/>
      <c r="L9" s="19" t="n"/>
      <c r="M9" s="19" t="n"/>
      <c r="N9" s="19" t="n"/>
      <c r="O9" s="23">
        <f>IF(J9="","",H9+I9)</f>
        <v/>
      </c>
      <c r="P9" s="23">
        <f>IF(J9="","",J9-O9)</f>
        <v/>
      </c>
      <c r="Q9" s="24">
        <f>IF(OR(J9="",J9=0),"",P9/J9)</f>
        <v/>
      </c>
      <c r="R9" s="25">
        <f>IF(OR(A9="",B9=""),"",B9-A9)</f>
        <v/>
      </c>
      <c r="S9" s="26">
        <f>IF(B9="","",YEAR(B9))</f>
        <v/>
      </c>
      <c r="T9" s="27">
        <f>IF(B9="","",IF(OR(F9="Electric",F9="Plug-in",F9="Hibrid"),1,0))</f>
        <v/>
      </c>
    </row>
    <row r="10">
      <c r="A10" s="18" t="n"/>
      <c r="B10" s="18" t="n"/>
      <c r="C10" s="19" t="n"/>
      <c r="D10" s="19" t="n"/>
      <c r="E10" s="20" t="n"/>
      <c r="F10" s="19" t="n"/>
      <c r="G10" s="21" t="n"/>
      <c r="H10" s="22" t="n"/>
      <c r="I10" s="22" t="n"/>
      <c r="J10" s="22" t="n"/>
      <c r="K10" s="19" t="n"/>
      <c r="L10" s="19" t="n"/>
      <c r="M10" s="19" t="n"/>
      <c r="N10" s="19" t="n"/>
      <c r="O10" s="23">
        <f>IF(J10="","",H10+I10)</f>
        <v/>
      </c>
      <c r="P10" s="23">
        <f>IF(J10="","",J10-O10)</f>
        <v/>
      </c>
      <c r="Q10" s="24">
        <f>IF(OR(J10="",J10=0),"",P10/J10)</f>
        <v/>
      </c>
      <c r="R10" s="25">
        <f>IF(OR(A10="",B10=""),"",B10-A10)</f>
        <v/>
      </c>
      <c r="S10" s="26">
        <f>IF(B10="","",YEAR(B10))</f>
        <v/>
      </c>
      <c r="T10" s="27">
        <f>IF(B10="","",IF(OR(F10="Electric",F10="Plug-in",F10="Hibrid"),1,0))</f>
        <v/>
      </c>
    </row>
    <row r="11">
      <c r="A11" s="18" t="n"/>
      <c r="B11" s="18" t="n"/>
      <c r="C11" s="19" t="n"/>
      <c r="D11" s="19" t="n"/>
      <c r="E11" s="20" t="n"/>
      <c r="F11" s="19" t="n"/>
      <c r="G11" s="21" t="n"/>
      <c r="H11" s="22" t="n"/>
      <c r="I11" s="22" t="n"/>
      <c r="J11" s="22" t="n"/>
      <c r="K11" s="19" t="n"/>
      <c r="L11" s="19" t="n"/>
      <c r="M11" s="19" t="n"/>
      <c r="N11" s="19" t="n"/>
      <c r="O11" s="23">
        <f>IF(J11="","",H11+I11)</f>
        <v/>
      </c>
      <c r="P11" s="23">
        <f>IF(J11="","",J11-O11)</f>
        <v/>
      </c>
      <c r="Q11" s="24">
        <f>IF(OR(J11="",J11=0),"",P11/J11)</f>
        <v/>
      </c>
      <c r="R11" s="25">
        <f>IF(OR(A11="",B11=""),"",B11-A11)</f>
        <v/>
      </c>
      <c r="S11" s="26">
        <f>IF(B11="","",YEAR(B11))</f>
        <v/>
      </c>
      <c r="T11" s="27">
        <f>IF(B11="","",IF(OR(F11="Electric",F11="Plug-in",F11="Hibrid"),1,0))</f>
        <v/>
      </c>
    </row>
    <row r="12">
      <c r="A12" s="18" t="n"/>
      <c r="B12" s="18" t="n"/>
      <c r="C12" s="19" t="n"/>
      <c r="D12" s="19" t="n"/>
      <c r="E12" s="20" t="n"/>
      <c r="F12" s="19" t="n"/>
      <c r="G12" s="21" t="n"/>
      <c r="H12" s="22" t="n"/>
      <c r="I12" s="22" t="n"/>
      <c r="J12" s="22" t="n"/>
      <c r="K12" s="19" t="n"/>
      <c r="L12" s="19" t="n"/>
      <c r="M12" s="19" t="n"/>
      <c r="N12" s="19" t="n"/>
      <c r="O12" s="23">
        <f>IF(J12="","",H12+I12)</f>
        <v/>
      </c>
      <c r="P12" s="23">
        <f>IF(J12="","",J12-O12)</f>
        <v/>
      </c>
      <c r="Q12" s="24">
        <f>IF(OR(J12="",J12=0),"",P12/J12)</f>
        <v/>
      </c>
      <c r="R12" s="25">
        <f>IF(OR(A12="",B12=""),"",B12-A12)</f>
        <v/>
      </c>
      <c r="S12" s="26">
        <f>IF(B12="","",YEAR(B12))</f>
        <v/>
      </c>
      <c r="T12" s="27">
        <f>IF(B12="","",IF(OR(F12="Electric",F12="Plug-in",F12="Hibrid"),1,0))</f>
        <v/>
      </c>
    </row>
    <row r="13">
      <c r="A13" s="18" t="n"/>
      <c r="B13" s="18" t="n"/>
      <c r="C13" s="19" t="n"/>
      <c r="D13" s="19" t="n"/>
      <c r="E13" s="20" t="n"/>
      <c r="F13" s="19" t="n"/>
      <c r="G13" s="21" t="n"/>
      <c r="H13" s="22" t="n"/>
      <c r="I13" s="22" t="n"/>
      <c r="J13" s="22" t="n"/>
      <c r="K13" s="19" t="n"/>
      <c r="L13" s="19" t="n"/>
      <c r="M13" s="19" t="n"/>
      <c r="N13" s="19" t="n"/>
      <c r="O13" s="23">
        <f>IF(J13="","",H13+I13)</f>
        <v/>
      </c>
      <c r="P13" s="23">
        <f>IF(J13="","",J13-O13)</f>
        <v/>
      </c>
      <c r="Q13" s="24">
        <f>IF(OR(J13="",J13=0),"",P13/J13)</f>
        <v/>
      </c>
      <c r="R13" s="25">
        <f>IF(OR(A13="",B13=""),"",B13-A13)</f>
        <v/>
      </c>
      <c r="S13" s="26">
        <f>IF(B13="","",YEAR(B13))</f>
        <v/>
      </c>
      <c r="T13" s="27">
        <f>IF(B13="","",IF(OR(F13="Electric",F13="Plug-in",F13="Hibrid"),1,0))</f>
        <v/>
      </c>
    </row>
    <row r="14">
      <c r="A14" s="18" t="n"/>
      <c r="B14" s="18" t="n"/>
      <c r="C14" s="19" t="n"/>
      <c r="D14" s="19" t="n"/>
      <c r="E14" s="20" t="n"/>
      <c r="F14" s="19" t="n"/>
      <c r="G14" s="21" t="n"/>
      <c r="H14" s="22" t="n"/>
      <c r="I14" s="22" t="n"/>
      <c r="J14" s="22" t="n"/>
      <c r="K14" s="19" t="n"/>
      <c r="L14" s="19" t="n"/>
      <c r="M14" s="19" t="n"/>
      <c r="N14" s="19" t="n"/>
      <c r="O14" s="23">
        <f>IF(J14="","",H14+I14)</f>
        <v/>
      </c>
      <c r="P14" s="23">
        <f>IF(J14="","",J14-O14)</f>
        <v/>
      </c>
      <c r="Q14" s="24">
        <f>IF(OR(J14="",J14=0),"",P14/J14)</f>
        <v/>
      </c>
      <c r="R14" s="25">
        <f>IF(OR(A14="",B14=""),"",B14-A14)</f>
        <v/>
      </c>
      <c r="S14" s="26">
        <f>IF(B14="","",YEAR(B14))</f>
        <v/>
      </c>
      <c r="T14" s="27">
        <f>IF(B14="","",IF(OR(F14="Electric",F14="Plug-in",F14="Hibrid"),1,0))</f>
        <v/>
      </c>
    </row>
    <row r="15">
      <c r="A15" s="18" t="n"/>
      <c r="B15" s="18" t="n"/>
      <c r="C15" s="19" t="n"/>
      <c r="D15" s="19" t="n"/>
      <c r="E15" s="20" t="n"/>
      <c r="F15" s="19" t="n"/>
      <c r="G15" s="21" t="n"/>
      <c r="H15" s="22" t="n"/>
      <c r="I15" s="22" t="n"/>
      <c r="J15" s="22" t="n"/>
      <c r="K15" s="19" t="n"/>
      <c r="L15" s="19" t="n"/>
      <c r="M15" s="19" t="n"/>
      <c r="N15" s="19" t="n"/>
      <c r="O15" s="23">
        <f>IF(J15="","",H15+I15)</f>
        <v/>
      </c>
      <c r="P15" s="23">
        <f>IF(J15="","",J15-O15)</f>
        <v/>
      </c>
      <c r="Q15" s="24">
        <f>IF(OR(J15="",J15=0),"",P15/J15)</f>
        <v/>
      </c>
      <c r="R15" s="25">
        <f>IF(OR(A15="",B15=""),"",B15-A15)</f>
        <v/>
      </c>
      <c r="S15" s="26">
        <f>IF(B15="","",YEAR(B15))</f>
        <v/>
      </c>
      <c r="T15" s="27">
        <f>IF(B15="","",IF(OR(F15="Electric",F15="Plug-in",F15="Hibrid"),1,0))</f>
        <v/>
      </c>
    </row>
    <row r="16">
      <c r="A16" s="18" t="n"/>
      <c r="B16" s="18" t="n"/>
      <c r="C16" s="19" t="n"/>
      <c r="D16" s="19" t="n"/>
      <c r="E16" s="20" t="n"/>
      <c r="F16" s="19" t="n"/>
      <c r="G16" s="21" t="n"/>
      <c r="H16" s="22" t="n"/>
      <c r="I16" s="22" t="n"/>
      <c r="J16" s="22" t="n"/>
      <c r="K16" s="19" t="n"/>
      <c r="L16" s="19" t="n"/>
      <c r="M16" s="19" t="n"/>
      <c r="N16" s="19" t="n"/>
      <c r="O16" s="23">
        <f>IF(J16="","",H16+I16)</f>
        <v/>
      </c>
      <c r="P16" s="23">
        <f>IF(J16="","",J16-O16)</f>
        <v/>
      </c>
      <c r="Q16" s="24">
        <f>IF(OR(J16="",J16=0),"",P16/J16)</f>
        <v/>
      </c>
      <c r="R16" s="25">
        <f>IF(OR(A16="",B16=""),"",B16-A16)</f>
        <v/>
      </c>
      <c r="S16" s="26">
        <f>IF(B16="","",YEAR(B16))</f>
        <v/>
      </c>
      <c r="T16" s="27">
        <f>IF(B16="","",IF(OR(F16="Electric",F16="Plug-in",F16="Hibrid"),1,0))</f>
        <v/>
      </c>
    </row>
    <row r="17">
      <c r="A17" s="18" t="n"/>
      <c r="B17" s="18" t="n"/>
      <c r="C17" s="19" t="n"/>
      <c r="D17" s="19" t="n"/>
      <c r="E17" s="20" t="n"/>
      <c r="F17" s="19" t="n"/>
      <c r="G17" s="21" t="n"/>
      <c r="H17" s="22" t="n"/>
      <c r="I17" s="22" t="n"/>
      <c r="J17" s="22" t="n"/>
      <c r="K17" s="19" t="n"/>
      <c r="L17" s="19" t="n"/>
      <c r="M17" s="19" t="n"/>
      <c r="N17" s="19" t="n"/>
      <c r="O17" s="23">
        <f>IF(J17="","",H17+I17)</f>
        <v/>
      </c>
      <c r="P17" s="23">
        <f>IF(J17="","",J17-O17)</f>
        <v/>
      </c>
      <c r="Q17" s="24">
        <f>IF(OR(J17="",J17=0),"",P17/J17)</f>
        <v/>
      </c>
      <c r="R17" s="25">
        <f>IF(OR(A17="",B17=""),"",B17-A17)</f>
        <v/>
      </c>
      <c r="S17" s="26">
        <f>IF(B17="","",YEAR(B17))</f>
        <v/>
      </c>
      <c r="T17" s="27">
        <f>IF(B17="","",IF(OR(F17="Electric",F17="Plug-in",F17="Hibrid"),1,0))</f>
        <v/>
      </c>
    </row>
    <row r="18">
      <c r="A18" s="18" t="n"/>
      <c r="B18" s="18" t="n"/>
      <c r="C18" s="19" t="n"/>
      <c r="D18" s="19" t="n"/>
      <c r="E18" s="20" t="n"/>
      <c r="F18" s="19" t="n"/>
      <c r="G18" s="21" t="n"/>
      <c r="H18" s="22" t="n"/>
      <c r="I18" s="22" t="n"/>
      <c r="J18" s="22" t="n"/>
      <c r="K18" s="19" t="n"/>
      <c r="L18" s="19" t="n"/>
      <c r="M18" s="19" t="n"/>
      <c r="N18" s="19" t="n"/>
      <c r="O18" s="23">
        <f>IF(J18="","",H18+I18)</f>
        <v/>
      </c>
      <c r="P18" s="23">
        <f>IF(J18="","",J18-O18)</f>
        <v/>
      </c>
      <c r="Q18" s="24">
        <f>IF(OR(J18="",J18=0),"",P18/J18)</f>
        <v/>
      </c>
      <c r="R18" s="25">
        <f>IF(OR(A18="",B18=""),"",B18-A18)</f>
        <v/>
      </c>
      <c r="S18" s="26">
        <f>IF(B18="","",YEAR(B18))</f>
        <v/>
      </c>
      <c r="T18" s="27">
        <f>IF(B18="","",IF(OR(F18="Electric",F18="Plug-in",F18="Hibrid"),1,0))</f>
        <v/>
      </c>
    </row>
    <row r="19">
      <c r="A19" s="18" t="n"/>
      <c r="B19" s="18" t="n"/>
      <c r="C19" s="19" t="n"/>
      <c r="D19" s="19" t="n"/>
      <c r="E19" s="20" t="n"/>
      <c r="F19" s="19" t="n"/>
      <c r="G19" s="21" t="n"/>
      <c r="H19" s="22" t="n"/>
      <c r="I19" s="22" t="n"/>
      <c r="J19" s="22" t="n"/>
      <c r="K19" s="19" t="n"/>
      <c r="L19" s="19" t="n"/>
      <c r="M19" s="19" t="n"/>
      <c r="N19" s="19" t="n"/>
      <c r="O19" s="23">
        <f>IF(J19="","",H19+I19)</f>
        <v/>
      </c>
      <c r="P19" s="23">
        <f>IF(J19="","",J19-O19)</f>
        <v/>
      </c>
      <c r="Q19" s="24">
        <f>IF(OR(J19="",J19=0),"",P19/J19)</f>
        <v/>
      </c>
      <c r="R19" s="25">
        <f>IF(OR(A19="",B19=""),"",B19-A19)</f>
        <v/>
      </c>
      <c r="S19" s="26">
        <f>IF(B19="","",YEAR(B19))</f>
        <v/>
      </c>
      <c r="T19" s="27">
        <f>IF(B19="","",IF(OR(F19="Electric",F19="Plug-in",F19="Hibrid"),1,0))</f>
        <v/>
      </c>
    </row>
    <row r="20">
      <c r="A20" s="18" t="n"/>
      <c r="B20" s="18" t="n"/>
      <c r="C20" s="19" t="n"/>
      <c r="D20" s="19" t="n"/>
      <c r="E20" s="20" t="n"/>
      <c r="F20" s="19" t="n"/>
      <c r="G20" s="21" t="n"/>
      <c r="H20" s="22" t="n"/>
      <c r="I20" s="22" t="n"/>
      <c r="J20" s="22" t="n"/>
      <c r="K20" s="19" t="n"/>
      <c r="L20" s="19" t="n"/>
      <c r="M20" s="19" t="n"/>
      <c r="N20" s="19" t="n"/>
      <c r="O20" s="23">
        <f>IF(J20="","",H20+I20)</f>
        <v/>
      </c>
      <c r="P20" s="23">
        <f>IF(J20="","",J20-O20)</f>
        <v/>
      </c>
      <c r="Q20" s="24">
        <f>IF(OR(J20="",J20=0),"",P20/J20)</f>
        <v/>
      </c>
      <c r="R20" s="25">
        <f>IF(OR(A20="",B20=""),"",B20-A20)</f>
        <v/>
      </c>
      <c r="S20" s="26">
        <f>IF(B20="","",YEAR(B20))</f>
        <v/>
      </c>
      <c r="T20" s="27">
        <f>IF(B20="","",IF(OR(F20="Electric",F20="Plug-in",F20="Hibrid"),1,0))</f>
        <v/>
      </c>
    </row>
    <row r="21">
      <c r="A21" s="18" t="n"/>
      <c r="B21" s="18" t="n"/>
      <c r="C21" s="19" t="n"/>
      <c r="D21" s="19" t="n"/>
      <c r="E21" s="20" t="n"/>
      <c r="F21" s="19" t="n"/>
      <c r="G21" s="21" t="n"/>
      <c r="H21" s="22" t="n"/>
      <c r="I21" s="22" t="n"/>
      <c r="J21" s="22" t="n"/>
      <c r="K21" s="19" t="n"/>
      <c r="L21" s="19" t="n"/>
      <c r="M21" s="19" t="n"/>
      <c r="N21" s="19" t="n"/>
      <c r="O21" s="23">
        <f>IF(J21="","",H21+I21)</f>
        <v/>
      </c>
      <c r="P21" s="23">
        <f>IF(J21="","",J21-O21)</f>
        <v/>
      </c>
      <c r="Q21" s="24">
        <f>IF(OR(J21="",J21=0),"",P21/J21)</f>
        <v/>
      </c>
      <c r="R21" s="25">
        <f>IF(OR(A21="",B21=""),"",B21-A21)</f>
        <v/>
      </c>
      <c r="S21" s="26">
        <f>IF(B21="","",YEAR(B21))</f>
        <v/>
      </c>
      <c r="T21" s="27">
        <f>IF(B21="","",IF(OR(F21="Electric",F21="Plug-in",F21="Hibrid"),1,0))</f>
        <v/>
      </c>
    </row>
    <row r="22">
      <c r="A22" s="18" t="n"/>
      <c r="B22" s="18" t="n"/>
      <c r="C22" s="19" t="n"/>
      <c r="D22" s="19" t="n"/>
      <c r="E22" s="20" t="n"/>
      <c r="F22" s="19" t="n"/>
      <c r="G22" s="21" t="n"/>
      <c r="H22" s="22" t="n"/>
      <c r="I22" s="22" t="n"/>
      <c r="J22" s="22" t="n"/>
      <c r="K22" s="19" t="n"/>
      <c r="L22" s="19" t="n"/>
      <c r="M22" s="19" t="n"/>
      <c r="N22" s="19" t="n"/>
      <c r="O22" s="23">
        <f>IF(J22="","",H22+I22)</f>
        <v/>
      </c>
      <c r="P22" s="23">
        <f>IF(J22="","",J22-O22)</f>
        <v/>
      </c>
      <c r="Q22" s="24">
        <f>IF(OR(J22="",J22=0),"",P22/J22)</f>
        <v/>
      </c>
      <c r="R22" s="25">
        <f>IF(OR(A22="",B22=""),"",B22-A22)</f>
        <v/>
      </c>
      <c r="S22" s="26">
        <f>IF(B22="","",YEAR(B22))</f>
        <v/>
      </c>
      <c r="T22" s="27">
        <f>IF(B22="","",IF(OR(F22="Electric",F22="Plug-in",F22="Hibrid"),1,0))</f>
        <v/>
      </c>
    </row>
    <row r="23">
      <c r="A23" s="18" t="n"/>
      <c r="B23" s="18" t="n"/>
      <c r="C23" s="19" t="n"/>
      <c r="D23" s="19" t="n"/>
      <c r="E23" s="20" t="n"/>
      <c r="F23" s="19" t="n"/>
      <c r="G23" s="21" t="n"/>
      <c r="H23" s="22" t="n"/>
      <c r="I23" s="22" t="n"/>
      <c r="J23" s="22" t="n"/>
      <c r="K23" s="19" t="n"/>
      <c r="L23" s="19" t="n"/>
      <c r="M23" s="19" t="n"/>
      <c r="N23" s="19" t="n"/>
      <c r="O23" s="23">
        <f>IF(J23="","",H23+I23)</f>
        <v/>
      </c>
      <c r="P23" s="23">
        <f>IF(J23="","",J23-O23)</f>
        <v/>
      </c>
      <c r="Q23" s="24">
        <f>IF(OR(J23="",J23=0),"",P23/J23)</f>
        <v/>
      </c>
      <c r="R23" s="25">
        <f>IF(OR(A23="",B23=""),"",B23-A23)</f>
        <v/>
      </c>
      <c r="S23" s="26">
        <f>IF(B23="","",YEAR(B23))</f>
        <v/>
      </c>
      <c r="T23" s="27">
        <f>IF(B23="","",IF(OR(F23="Electric",F23="Plug-in",F23="Hibrid"),1,0))</f>
        <v/>
      </c>
    </row>
    <row r="24">
      <c r="A24" s="18" t="n"/>
      <c r="B24" s="18" t="n"/>
      <c r="C24" s="19" t="n"/>
      <c r="D24" s="19" t="n"/>
      <c r="E24" s="20" t="n"/>
      <c r="F24" s="19" t="n"/>
      <c r="G24" s="21" t="n"/>
      <c r="H24" s="22" t="n"/>
      <c r="I24" s="22" t="n"/>
      <c r="J24" s="22" t="n"/>
      <c r="K24" s="19" t="n"/>
      <c r="L24" s="19" t="n"/>
      <c r="M24" s="19" t="n"/>
      <c r="N24" s="19" t="n"/>
      <c r="O24" s="23">
        <f>IF(J24="","",H24+I24)</f>
        <v/>
      </c>
      <c r="P24" s="23">
        <f>IF(J24="","",J24-O24)</f>
        <v/>
      </c>
      <c r="Q24" s="24">
        <f>IF(OR(J24="",J24=0),"",P24/J24)</f>
        <v/>
      </c>
      <c r="R24" s="25">
        <f>IF(OR(A24="",B24=""),"",B24-A24)</f>
        <v/>
      </c>
      <c r="S24" s="26">
        <f>IF(B24="","",YEAR(B24))</f>
        <v/>
      </c>
      <c r="T24" s="27">
        <f>IF(B24="","",IF(OR(F24="Electric",F24="Plug-in",F24="Hibrid"),1,0))</f>
        <v/>
      </c>
    </row>
    <row r="25">
      <c r="A25" s="18" t="n"/>
      <c r="B25" s="18" t="n"/>
      <c r="C25" s="19" t="n"/>
      <c r="D25" s="19" t="n"/>
      <c r="E25" s="20" t="n"/>
      <c r="F25" s="19" t="n"/>
      <c r="G25" s="21" t="n"/>
      <c r="H25" s="22" t="n"/>
      <c r="I25" s="22" t="n"/>
      <c r="J25" s="22" t="n"/>
      <c r="K25" s="19" t="n"/>
      <c r="L25" s="19" t="n"/>
      <c r="M25" s="19" t="n"/>
      <c r="N25" s="19" t="n"/>
      <c r="O25" s="23">
        <f>IF(J25="","",H25+I25)</f>
        <v/>
      </c>
      <c r="P25" s="23">
        <f>IF(J25="","",J25-O25)</f>
        <v/>
      </c>
      <c r="Q25" s="24">
        <f>IF(OR(J25="",J25=0),"",P25/J25)</f>
        <v/>
      </c>
      <c r="R25" s="25">
        <f>IF(OR(A25="",B25=""),"",B25-A25)</f>
        <v/>
      </c>
      <c r="S25" s="26">
        <f>IF(B25="","",YEAR(B25))</f>
        <v/>
      </c>
      <c r="T25" s="27">
        <f>IF(B25="","",IF(OR(F25="Electric",F25="Plug-in",F25="Hibrid"),1,0))</f>
        <v/>
      </c>
    </row>
    <row r="26">
      <c r="A26" s="18" t="n"/>
      <c r="B26" s="18" t="n"/>
      <c r="C26" s="19" t="n"/>
      <c r="D26" s="19" t="n"/>
      <c r="E26" s="20" t="n"/>
      <c r="F26" s="19" t="n"/>
      <c r="G26" s="21" t="n"/>
      <c r="H26" s="22" t="n"/>
      <c r="I26" s="22" t="n"/>
      <c r="J26" s="22" t="n"/>
      <c r="K26" s="19" t="n"/>
      <c r="L26" s="19" t="n"/>
      <c r="M26" s="19" t="n"/>
      <c r="N26" s="19" t="n"/>
      <c r="O26" s="23">
        <f>IF(J26="","",H26+I26)</f>
        <v/>
      </c>
      <c r="P26" s="23">
        <f>IF(J26="","",J26-O26)</f>
        <v/>
      </c>
      <c r="Q26" s="24">
        <f>IF(OR(J26="",J26=0),"",P26/J26)</f>
        <v/>
      </c>
      <c r="R26" s="25">
        <f>IF(OR(A26="",B26=""),"",B26-A26)</f>
        <v/>
      </c>
      <c r="S26" s="26">
        <f>IF(B26="","",YEAR(B26))</f>
        <v/>
      </c>
      <c r="T26" s="27">
        <f>IF(B26="","",IF(OR(F26="Electric",F26="Plug-in",F26="Hibrid"),1,0))</f>
        <v/>
      </c>
    </row>
    <row r="27">
      <c r="A27" s="18" t="n"/>
      <c r="B27" s="18" t="n"/>
      <c r="C27" s="19" t="n"/>
      <c r="D27" s="19" t="n"/>
      <c r="E27" s="20" t="n"/>
      <c r="F27" s="19" t="n"/>
      <c r="G27" s="21" t="n"/>
      <c r="H27" s="22" t="n"/>
      <c r="I27" s="22" t="n"/>
      <c r="J27" s="22" t="n"/>
      <c r="K27" s="19" t="n"/>
      <c r="L27" s="19" t="n"/>
      <c r="M27" s="19" t="n"/>
      <c r="N27" s="19" t="n"/>
      <c r="O27" s="23">
        <f>IF(J27="","",H27+I27)</f>
        <v/>
      </c>
      <c r="P27" s="23">
        <f>IF(J27="","",J27-O27)</f>
        <v/>
      </c>
      <c r="Q27" s="24">
        <f>IF(OR(J27="",J27=0),"",P27/J27)</f>
        <v/>
      </c>
      <c r="R27" s="25">
        <f>IF(OR(A27="",B27=""),"",B27-A27)</f>
        <v/>
      </c>
      <c r="S27" s="26">
        <f>IF(B27="","",YEAR(B27))</f>
        <v/>
      </c>
      <c r="T27" s="27">
        <f>IF(B27="","",IF(OR(F27="Electric",F27="Plug-in",F27="Hibrid"),1,0))</f>
        <v/>
      </c>
    </row>
    <row r="28">
      <c r="A28" s="18" t="n"/>
      <c r="B28" s="18" t="n"/>
      <c r="C28" s="19" t="n"/>
      <c r="D28" s="19" t="n"/>
      <c r="E28" s="20" t="n"/>
      <c r="F28" s="19" t="n"/>
      <c r="G28" s="21" t="n"/>
      <c r="H28" s="22" t="n"/>
      <c r="I28" s="22" t="n"/>
      <c r="J28" s="22" t="n"/>
      <c r="K28" s="19" t="n"/>
      <c r="L28" s="19" t="n"/>
      <c r="M28" s="19" t="n"/>
      <c r="N28" s="19" t="n"/>
      <c r="O28" s="23">
        <f>IF(J28="","",H28+I28)</f>
        <v/>
      </c>
      <c r="P28" s="23">
        <f>IF(J28="","",J28-O28)</f>
        <v/>
      </c>
      <c r="Q28" s="24">
        <f>IF(OR(J28="",J28=0),"",P28/J28)</f>
        <v/>
      </c>
      <c r="R28" s="25">
        <f>IF(OR(A28="",B28=""),"",B28-A28)</f>
        <v/>
      </c>
      <c r="S28" s="26">
        <f>IF(B28="","",YEAR(B28))</f>
        <v/>
      </c>
      <c r="T28" s="27">
        <f>IF(B28="","",IF(OR(F28="Electric",F28="Plug-in",F28="Hibrid"),1,0))</f>
        <v/>
      </c>
    </row>
    <row r="29">
      <c r="A29" s="18" t="n"/>
      <c r="B29" s="18" t="n"/>
      <c r="C29" s="19" t="n"/>
      <c r="D29" s="19" t="n"/>
      <c r="E29" s="20" t="n"/>
      <c r="F29" s="19" t="n"/>
      <c r="G29" s="21" t="n"/>
      <c r="H29" s="22" t="n"/>
      <c r="I29" s="22" t="n"/>
      <c r="J29" s="22" t="n"/>
      <c r="K29" s="19" t="n"/>
      <c r="L29" s="19" t="n"/>
      <c r="M29" s="19" t="n"/>
      <c r="N29" s="19" t="n"/>
      <c r="O29" s="23">
        <f>IF(J29="","",H29+I29)</f>
        <v/>
      </c>
      <c r="P29" s="23">
        <f>IF(J29="","",J29-O29)</f>
        <v/>
      </c>
      <c r="Q29" s="24">
        <f>IF(OR(J29="",J29=0),"",P29/J29)</f>
        <v/>
      </c>
      <c r="R29" s="25">
        <f>IF(OR(A29="",B29=""),"",B29-A29)</f>
        <v/>
      </c>
      <c r="S29" s="26">
        <f>IF(B29="","",YEAR(B29))</f>
        <v/>
      </c>
      <c r="T29" s="27">
        <f>IF(B29="","",IF(OR(F29="Electric",F29="Plug-in",F29="Hibrid"),1,0))</f>
        <v/>
      </c>
    </row>
    <row r="30">
      <c r="A30" s="18" t="n"/>
      <c r="B30" s="18" t="n"/>
      <c r="C30" s="19" t="n"/>
      <c r="D30" s="19" t="n"/>
      <c r="E30" s="20" t="n"/>
      <c r="F30" s="19" t="n"/>
      <c r="G30" s="21" t="n"/>
      <c r="H30" s="22" t="n"/>
      <c r="I30" s="22" t="n"/>
      <c r="J30" s="22" t="n"/>
      <c r="K30" s="19" t="n"/>
      <c r="L30" s="19" t="n"/>
      <c r="M30" s="19" t="n"/>
      <c r="N30" s="19" t="n"/>
      <c r="O30" s="23">
        <f>IF(J30="","",H30+I30)</f>
        <v/>
      </c>
      <c r="P30" s="23">
        <f>IF(J30="","",J30-O30)</f>
        <v/>
      </c>
      <c r="Q30" s="24">
        <f>IF(OR(J30="",J30=0),"",P30/J30)</f>
        <v/>
      </c>
      <c r="R30" s="25">
        <f>IF(OR(A30="",B30=""),"",B30-A30)</f>
        <v/>
      </c>
      <c r="S30" s="26">
        <f>IF(B30="","",YEAR(B30))</f>
        <v/>
      </c>
      <c r="T30" s="27">
        <f>IF(B30="","",IF(OR(F30="Electric",F30="Plug-in",F30="Hibrid"),1,0))</f>
        <v/>
      </c>
    </row>
    <row r="31">
      <c r="A31" s="18" t="n"/>
      <c r="B31" s="18" t="n"/>
      <c r="C31" s="19" t="n"/>
      <c r="D31" s="19" t="n"/>
      <c r="E31" s="20" t="n"/>
      <c r="F31" s="19" t="n"/>
      <c r="G31" s="21" t="n"/>
      <c r="H31" s="22" t="n"/>
      <c r="I31" s="22" t="n"/>
      <c r="J31" s="22" t="n"/>
      <c r="K31" s="19" t="n"/>
      <c r="L31" s="19" t="n"/>
      <c r="M31" s="19" t="n"/>
      <c r="N31" s="19" t="n"/>
      <c r="O31" s="23">
        <f>IF(J31="","",H31+I31)</f>
        <v/>
      </c>
      <c r="P31" s="23">
        <f>IF(J31="","",J31-O31)</f>
        <v/>
      </c>
      <c r="Q31" s="24">
        <f>IF(OR(J31="",J31=0),"",P31/J31)</f>
        <v/>
      </c>
      <c r="R31" s="25">
        <f>IF(OR(A31="",B31=""),"",B31-A31)</f>
        <v/>
      </c>
      <c r="S31" s="26">
        <f>IF(B31="","",YEAR(B31))</f>
        <v/>
      </c>
      <c r="T31" s="27">
        <f>IF(B31="","",IF(OR(F31="Electric",F31="Plug-in",F31="Hibrid"),1,0))</f>
        <v/>
      </c>
    </row>
    <row r="32">
      <c r="A32" s="18" t="n"/>
      <c r="B32" s="18" t="n"/>
      <c r="C32" s="19" t="n"/>
      <c r="D32" s="19" t="n"/>
      <c r="E32" s="20" t="n"/>
      <c r="F32" s="19" t="n"/>
      <c r="G32" s="21" t="n"/>
      <c r="H32" s="22" t="n"/>
      <c r="I32" s="22" t="n"/>
      <c r="J32" s="22" t="n"/>
      <c r="K32" s="19" t="n"/>
      <c r="L32" s="19" t="n"/>
      <c r="M32" s="19" t="n"/>
      <c r="N32" s="19" t="n"/>
      <c r="O32" s="23">
        <f>IF(J32="","",H32+I32)</f>
        <v/>
      </c>
      <c r="P32" s="23">
        <f>IF(J32="","",J32-O32)</f>
        <v/>
      </c>
      <c r="Q32" s="24">
        <f>IF(OR(J32="",J32=0),"",P32/J32)</f>
        <v/>
      </c>
      <c r="R32" s="25">
        <f>IF(OR(A32="",B32=""),"",B32-A32)</f>
        <v/>
      </c>
      <c r="S32" s="26">
        <f>IF(B32="","",YEAR(B32))</f>
        <v/>
      </c>
      <c r="T32" s="27">
        <f>IF(B32="","",IF(OR(F32="Electric",F32="Plug-in",F32="Hibrid"),1,0))</f>
        <v/>
      </c>
    </row>
    <row r="33">
      <c r="A33" s="18" t="n"/>
      <c r="B33" s="18" t="n"/>
      <c r="C33" s="19" t="n"/>
      <c r="D33" s="19" t="n"/>
      <c r="E33" s="20" t="n"/>
      <c r="F33" s="19" t="n"/>
      <c r="G33" s="21" t="n"/>
      <c r="H33" s="22" t="n"/>
      <c r="I33" s="22" t="n"/>
      <c r="J33" s="22" t="n"/>
      <c r="K33" s="19" t="n"/>
      <c r="L33" s="19" t="n"/>
      <c r="M33" s="19" t="n"/>
      <c r="N33" s="19" t="n"/>
      <c r="O33" s="23">
        <f>IF(J33="","",H33+I33)</f>
        <v/>
      </c>
      <c r="P33" s="23">
        <f>IF(J33="","",J33-O33)</f>
        <v/>
      </c>
      <c r="Q33" s="24">
        <f>IF(OR(J33="",J33=0),"",P33/J33)</f>
        <v/>
      </c>
      <c r="R33" s="25">
        <f>IF(OR(A33="",B33=""),"",B33-A33)</f>
        <v/>
      </c>
      <c r="S33" s="26">
        <f>IF(B33="","",YEAR(B33))</f>
        <v/>
      </c>
      <c r="T33" s="27">
        <f>IF(B33="","",IF(OR(F33="Electric",F33="Plug-in",F33="Hibrid"),1,0))</f>
        <v/>
      </c>
    </row>
    <row r="34">
      <c r="A34" s="18" t="n"/>
      <c r="B34" s="18" t="n"/>
      <c r="C34" s="19" t="n"/>
      <c r="D34" s="19" t="n"/>
      <c r="E34" s="20" t="n"/>
      <c r="F34" s="19" t="n"/>
      <c r="G34" s="21" t="n"/>
      <c r="H34" s="22" t="n"/>
      <c r="I34" s="22" t="n"/>
      <c r="J34" s="22" t="n"/>
      <c r="K34" s="19" t="n"/>
      <c r="L34" s="19" t="n"/>
      <c r="M34" s="19" t="n"/>
      <c r="N34" s="19" t="n"/>
      <c r="O34" s="23">
        <f>IF(J34="","",H34+I34)</f>
        <v/>
      </c>
      <c r="P34" s="23">
        <f>IF(J34="","",J34-O34)</f>
        <v/>
      </c>
      <c r="Q34" s="24">
        <f>IF(OR(J34="",J34=0),"",P34/J34)</f>
        <v/>
      </c>
      <c r="R34" s="25">
        <f>IF(OR(A34="",B34=""),"",B34-A34)</f>
        <v/>
      </c>
      <c r="S34" s="26">
        <f>IF(B34="","",YEAR(B34))</f>
        <v/>
      </c>
      <c r="T34" s="27">
        <f>IF(B34="","",IF(OR(F34="Electric",F34="Plug-in",F34="Hibrid"),1,0))</f>
        <v/>
      </c>
    </row>
    <row r="35">
      <c r="A35" s="18" t="n"/>
      <c r="B35" s="18" t="n"/>
      <c r="C35" s="19" t="n"/>
      <c r="D35" s="19" t="n"/>
      <c r="E35" s="20" t="n"/>
      <c r="F35" s="19" t="n"/>
      <c r="G35" s="21" t="n"/>
      <c r="H35" s="22" t="n"/>
      <c r="I35" s="22" t="n"/>
      <c r="J35" s="22" t="n"/>
      <c r="K35" s="19" t="n"/>
      <c r="L35" s="19" t="n"/>
      <c r="M35" s="19" t="n"/>
      <c r="N35" s="19" t="n"/>
      <c r="O35" s="23">
        <f>IF(J35="","",H35+I35)</f>
        <v/>
      </c>
      <c r="P35" s="23">
        <f>IF(J35="","",J35-O35)</f>
        <v/>
      </c>
      <c r="Q35" s="24">
        <f>IF(OR(J35="",J35=0),"",P35/J35)</f>
        <v/>
      </c>
      <c r="R35" s="25">
        <f>IF(OR(A35="",B35=""),"",B35-A35)</f>
        <v/>
      </c>
      <c r="S35" s="26">
        <f>IF(B35="","",YEAR(B35))</f>
        <v/>
      </c>
      <c r="T35" s="27">
        <f>IF(B35="","",IF(OR(F35="Electric",F35="Plug-in",F35="Hibrid"),1,0))</f>
        <v/>
      </c>
    </row>
    <row r="36">
      <c r="A36" s="18" t="n"/>
      <c r="B36" s="18" t="n"/>
      <c r="C36" s="19" t="n"/>
      <c r="D36" s="19" t="n"/>
      <c r="E36" s="20" t="n"/>
      <c r="F36" s="19" t="n"/>
      <c r="G36" s="21" t="n"/>
      <c r="H36" s="22" t="n"/>
      <c r="I36" s="22" t="n"/>
      <c r="J36" s="22" t="n"/>
      <c r="K36" s="19" t="n"/>
      <c r="L36" s="19" t="n"/>
      <c r="M36" s="19" t="n"/>
      <c r="N36" s="19" t="n"/>
      <c r="O36" s="23">
        <f>IF(J36="","",H36+I36)</f>
        <v/>
      </c>
      <c r="P36" s="23">
        <f>IF(J36="","",J36-O36)</f>
        <v/>
      </c>
      <c r="Q36" s="24">
        <f>IF(OR(J36="",J36=0),"",P36/J36)</f>
        <v/>
      </c>
      <c r="R36" s="25">
        <f>IF(OR(A36="",B36=""),"",B36-A36)</f>
        <v/>
      </c>
      <c r="S36" s="26">
        <f>IF(B36="","",YEAR(B36))</f>
        <v/>
      </c>
      <c r="T36" s="27">
        <f>IF(B36="","",IF(OR(F36="Electric",F36="Plug-in",F36="Hibrid"),1,0))</f>
        <v/>
      </c>
    </row>
    <row r="37">
      <c r="A37" s="18" t="n"/>
      <c r="B37" s="18" t="n"/>
      <c r="C37" s="19" t="n"/>
      <c r="D37" s="19" t="n"/>
      <c r="E37" s="20" t="n"/>
      <c r="F37" s="19" t="n"/>
      <c r="G37" s="21" t="n"/>
      <c r="H37" s="22" t="n"/>
      <c r="I37" s="22" t="n"/>
      <c r="J37" s="22" t="n"/>
      <c r="K37" s="19" t="n"/>
      <c r="L37" s="19" t="n"/>
      <c r="M37" s="19" t="n"/>
      <c r="N37" s="19" t="n"/>
      <c r="O37" s="23">
        <f>IF(J37="","",H37+I37)</f>
        <v/>
      </c>
      <c r="P37" s="23">
        <f>IF(J37="","",J37-O37)</f>
        <v/>
      </c>
      <c r="Q37" s="24">
        <f>IF(OR(J37="",J37=0),"",P37/J37)</f>
        <v/>
      </c>
      <c r="R37" s="25">
        <f>IF(OR(A37="",B37=""),"",B37-A37)</f>
        <v/>
      </c>
      <c r="S37" s="26">
        <f>IF(B37="","",YEAR(B37))</f>
        <v/>
      </c>
      <c r="T37" s="27">
        <f>IF(B37="","",IF(OR(F37="Electric",F37="Plug-in",F37="Hibrid"),1,0))</f>
        <v/>
      </c>
    </row>
    <row r="38">
      <c r="A38" s="18" t="n"/>
      <c r="B38" s="18" t="n"/>
      <c r="C38" s="19" t="n"/>
      <c r="D38" s="19" t="n"/>
      <c r="E38" s="20" t="n"/>
      <c r="F38" s="19" t="n"/>
      <c r="G38" s="21" t="n"/>
      <c r="H38" s="22" t="n"/>
      <c r="I38" s="22" t="n"/>
      <c r="J38" s="22" t="n"/>
      <c r="K38" s="19" t="n"/>
      <c r="L38" s="19" t="n"/>
      <c r="M38" s="19" t="n"/>
      <c r="N38" s="19" t="n"/>
      <c r="O38" s="23">
        <f>IF(J38="","",H38+I38)</f>
        <v/>
      </c>
      <c r="P38" s="23">
        <f>IF(J38="","",J38-O38)</f>
        <v/>
      </c>
      <c r="Q38" s="24">
        <f>IF(OR(J38="",J38=0),"",P38/J38)</f>
        <v/>
      </c>
      <c r="R38" s="25">
        <f>IF(OR(A38="",B38=""),"",B38-A38)</f>
        <v/>
      </c>
      <c r="S38" s="26">
        <f>IF(B38="","",YEAR(B38))</f>
        <v/>
      </c>
      <c r="T38" s="27">
        <f>IF(B38="","",IF(OR(F38="Electric",F38="Plug-in",F38="Hibrid"),1,0))</f>
        <v/>
      </c>
    </row>
    <row r="39">
      <c r="A39" s="18" t="n"/>
      <c r="B39" s="18" t="n"/>
      <c r="C39" s="19" t="n"/>
      <c r="D39" s="19" t="n"/>
      <c r="E39" s="20" t="n"/>
      <c r="F39" s="19" t="n"/>
      <c r="G39" s="21" t="n"/>
      <c r="H39" s="22" t="n"/>
      <c r="I39" s="22" t="n"/>
      <c r="J39" s="22" t="n"/>
      <c r="K39" s="19" t="n"/>
      <c r="L39" s="19" t="n"/>
      <c r="M39" s="19" t="n"/>
      <c r="N39" s="19" t="n"/>
      <c r="O39" s="23">
        <f>IF(J39="","",H39+I39)</f>
        <v/>
      </c>
      <c r="P39" s="23">
        <f>IF(J39="","",J39-O39)</f>
        <v/>
      </c>
      <c r="Q39" s="24">
        <f>IF(OR(J39="",J39=0),"",P39/J39)</f>
        <v/>
      </c>
      <c r="R39" s="25">
        <f>IF(OR(A39="",B39=""),"",B39-A39)</f>
        <v/>
      </c>
      <c r="S39" s="26">
        <f>IF(B39="","",YEAR(B39))</f>
        <v/>
      </c>
      <c r="T39" s="27">
        <f>IF(B39="","",IF(OR(F39="Electric",F39="Plug-in",F39="Hibrid"),1,0))</f>
        <v/>
      </c>
    </row>
    <row r="40">
      <c r="A40" s="18" t="n"/>
      <c r="B40" s="18" t="n"/>
      <c r="C40" s="19" t="n"/>
      <c r="D40" s="19" t="n"/>
      <c r="E40" s="20" t="n"/>
      <c r="F40" s="19" t="n"/>
      <c r="G40" s="21" t="n"/>
      <c r="H40" s="22" t="n"/>
      <c r="I40" s="22" t="n"/>
      <c r="J40" s="22" t="n"/>
      <c r="K40" s="19" t="n"/>
      <c r="L40" s="19" t="n"/>
      <c r="M40" s="19" t="n"/>
      <c r="N40" s="19" t="n"/>
      <c r="O40" s="23">
        <f>IF(J40="","",H40+I40)</f>
        <v/>
      </c>
      <c r="P40" s="23">
        <f>IF(J40="","",J40-O40)</f>
        <v/>
      </c>
      <c r="Q40" s="24">
        <f>IF(OR(J40="",J40=0),"",P40/J40)</f>
        <v/>
      </c>
      <c r="R40" s="25">
        <f>IF(OR(A40="",B40=""),"",B40-A40)</f>
        <v/>
      </c>
      <c r="S40" s="26">
        <f>IF(B40="","",YEAR(B40))</f>
        <v/>
      </c>
      <c r="T40" s="27">
        <f>IF(B40="","",IF(OR(F40="Electric",F40="Plug-in",F40="Hibrid"),1,0))</f>
        <v/>
      </c>
    </row>
    <row r="41">
      <c r="A41" s="18" t="n"/>
      <c r="B41" s="18" t="n"/>
      <c r="C41" s="19" t="n"/>
      <c r="D41" s="19" t="n"/>
      <c r="E41" s="20" t="n"/>
      <c r="F41" s="19" t="n"/>
      <c r="G41" s="21" t="n"/>
      <c r="H41" s="22" t="n"/>
      <c r="I41" s="22" t="n"/>
      <c r="J41" s="22" t="n"/>
      <c r="K41" s="19" t="n"/>
      <c r="L41" s="19" t="n"/>
      <c r="M41" s="19" t="n"/>
      <c r="N41" s="19" t="n"/>
      <c r="O41" s="23">
        <f>IF(J41="","",H41+I41)</f>
        <v/>
      </c>
      <c r="P41" s="23">
        <f>IF(J41="","",J41-O41)</f>
        <v/>
      </c>
      <c r="Q41" s="24">
        <f>IF(OR(J41="",J41=0),"",P41/J41)</f>
        <v/>
      </c>
      <c r="R41" s="25">
        <f>IF(OR(A41="",B41=""),"",B41-A41)</f>
        <v/>
      </c>
      <c r="S41" s="26">
        <f>IF(B41="","",YEAR(B41))</f>
        <v/>
      </c>
      <c r="T41" s="27">
        <f>IF(B41="","",IF(OR(F41="Electric",F41="Plug-in",F41="Hibrid"),1,0))</f>
        <v/>
      </c>
    </row>
    <row r="42">
      <c r="A42" s="18" t="n"/>
      <c r="B42" s="18" t="n"/>
      <c r="C42" s="19" t="n"/>
      <c r="D42" s="19" t="n"/>
      <c r="E42" s="20" t="n"/>
      <c r="F42" s="19" t="n"/>
      <c r="G42" s="21" t="n"/>
      <c r="H42" s="22" t="n"/>
      <c r="I42" s="22" t="n"/>
      <c r="J42" s="22" t="n"/>
      <c r="K42" s="19" t="n"/>
      <c r="L42" s="19" t="n"/>
      <c r="M42" s="19" t="n"/>
      <c r="N42" s="19" t="n"/>
      <c r="O42" s="23">
        <f>IF(J42="","",H42+I42)</f>
        <v/>
      </c>
      <c r="P42" s="23">
        <f>IF(J42="","",J42-O42)</f>
        <v/>
      </c>
      <c r="Q42" s="24">
        <f>IF(OR(J42="",J42=0),"",P42/J42)</f>
        <v/>
      </c>
      <c r="R42" s="25">
        <f>IF(OR(A42="",B42=""),"",B42-A42)</f>
        <v/>
      </c>
      <c r="S42" s="26">
        <f>IF(B42="","",YEAR(B42))</f>
        <v/>
      </c>
      <c r="T42" s="27">
        <f>IF(B42="","",IF(OR(F42="Electric",F42="Plug-in",F42="Hibrid"),1,0))</f>
        <v/>
      </c>
    </row>
    <row r="43">
      <c r="A43" s="18" t="n"/>
      <c r="B43" s="18" t="n"/>
      <c r="C43" s="19" t="n"/>
      <c r="D43" s="19" t="n"/>
      <c r="E43" s="20" t="n"/>
      <c r="F43" s="19" t="n"/>
      <c r="G43" s="21" t="n"/>
      <c r="H43" s="22" t="n"/>
      <c r="I43" s="22" t="n"/>
      <c r="J43" s="22" t="n"/>
      <c r="K43" s="19" t="n"/>
      <c r="L43" s="19" t="n"/>
      <c r="M43" s="19" t="n"/>
      <c r="N43" s="19" t="n"/>
      <c r="O43" s="23">
        <f>IF(J43="","",H43+I43)</f>
        <v/>
      </c>
      <c r="P43" s="23">
        <f>IF(J43="","",J43-O43)</f>
        <v/>
      </c>
      <c r="Q43" s="24">
        <f>IF(OR(J43="",J43=0),"",P43/J43)</f>
        <v/>
      </c>
      <c r="R43" s="25">
        <f>IF(OR(A43="",B43=""),"",B43-A43)</f>
        <v/>
      </c>
      <c r="S43" s="26">
        <f>IF(B43="","",YEAR(B43))</f>
        <v/>
      </c>
      <c r="T43" s="27">
        <f>IF(B43="","",IF(OR(F43="Electric",F43="Plug-in",F43="Hibrid"),1,0))</f>
        <v/>
      </c>
    </row>
    <row r="44">
      <c r="A44" s="18" t="n"/>
      <c r="B44" s="18" t="n"/>
      <c r="C44" s="19" t="n"/>
      <c r="D44" s="19" t="n"/>
      <c r="E44" s="20" t="n"/>
      <c r="F44" s="19" t="n"/>
      <c r="G44" s="21" t="n"/>
      <c r="H44" s="22" t="n"/>
      <c r="I44" s="22" t="n"/>
      <c r="J44" s="22" t="n"/>
      <c r="K44" s="19" t="n"/>
      <c r="L44" s="19" t="n"/>
      <c r="M44" s="19" t="n"/>
      <c r="N44" s="19" t="n"/>
      <c r="O44" s="23">
        <f>IF(J44="","",H44+I44)</f>
        <v/>
      </c>
      <c r="P44" s="23">
        <f>IF(J44="","",J44-O44)</f>
        <v/>
      </c>
      <c r="Q44" s="24">
        <f>IF(OR(J44="",J44=0),"",P44/J44)</f>
        <v/>
      </c>
      <c r="R44" s="25">
        <f>IF(OR(A44="",B44=""),"",B44-A44)</f>
        <v/>
      </c>
      <c r="S44" s="26">
        <f>IF(B44="","",YEAR(B44))</f>
        <v/>
      </c>
      <c r="T44" s="27">
        <f>IF(B44="","",IF(OR(F44="Electric",F44="Plug-in",F44="Hibrid"),1,0))</f>
        <v/>
      </c>
    </row>
    <row r="45">
      <c r="A45" s="18" t="n"/>
      <c r="B45" s="18" t="n"/>
      <c r="C45" s="19" t="n"/>
      <c r="D45" s="19" t="n"/>
      <c r="E45" s="20" t="n"/>
      <c r="F45" s="19" t="n"/>
      <c r="G45" s="21" t="n"/>
      <c r="H45" s="22" t="n"/>
      <c r="I45" s="22" t="n"/>
      <c r="J45" s="22" t="n"/>
      <c r="K45" s="19" t="n"/>
      <c r="L45" s="19" t="n"/>
      <c r="M45" s="19" t="n"/>
      <c r="N45" s="19" t="n"/>
      <c r="O45" s="23">
        <f>IF(J45="","",H45+I45)</f>
        <v/>
      </c>
      <c r="P45" s="23">
        <f>IF(J45="","",J45-O45)</f>
        <v/>
      </c>
      <c r="Q45" s="24">
        <f>IF(OR(J45="",J45=0),"",P45/J45)</f>
        <v/>
      </c>
      <c r="R45" s="25">
        <f>IF(OR(A45="",B45=""),"",B45-A45)</f>
        <v/>
      </c>
      <c r="S45" s="26">
        <f>IF(B45="","",YEAR(B45))</f>
        <v/>
      </c>
      <c r="T45" s="27">
        <f>IF(B45="","",IF(OR(F45="Electric",F45="Plug-in",F45="Hibrid"),1,0))</f>
        <v/>
      </c>
    </row>
    <row r="46">
      <c r="A46" s="18" t="n"/>
      <c r="B46" s="18" t="n"/>
      <c r="C46" s="19" t="n"/>
      <c r="D46" s="19" t="n"/>
      <c r="E46" s="20" t="n"/>
      <c r="F46" s="19" t="n"/>
      <c r="G46" s="21" t="n"/>
      <c r="H46" s="22" t="n"/>
      <c r="I46" s="22" t="n"/>
      <c r="J46" s="22" t="n"/>
      <c r="K46" s="19" t="n"/>
      <c r="L46" s="19" t="n"/>
      <c r="M46" s="19" t="n"/>
      <c r="N46" s="19" t="n"/>
      <c r="O46" s="23">
        <f>IF(J46="","",H46+I46)</f>
        <v/>
      </c>
      <c r="P46" s="23">
        <f>IF(J46="","",J46-O46)</f>
        <v/>
      </c>
      <c r="Q46" s="24">
        <f>IF(OR(J46="",J46=0),"",P46/J46)</f>
        <v/>
      </c>
      <c r="R46" s="25">
        <f>IF(OR(A46="",B46=""),"",B46-A46)</f>
        <v/>
      </c>
      <c r="S46" s="26">
        <f>IF(B46="","",YEAR(B46))</f>
        <v/>
      </c>
      <c r="T46" s="27">
        <f>IF(B46="","",IF(OR(F46="Electric",F46="Plug-in",F46="Hibrid"),1,0))</f>
        <v/>
      </c>
    </row>
    <row r="47">
      <c r="A47" s="18" t="n"/>
      <c r="B47" s="18" t="n"/>
      <c r="C47" s="19" t="n"/>
      <c r="D47" s="19" t="n"/>
      <c r="E47" s="20" t="n"/>
      <c r="F47" s="19" t="n"/>
      <c r="G47" s="21" t="n"/>
      <c r="H47" s="22" t="n"/>
      <c r="I47" s="22" t="n"/>
      <c r="J47" s="22" t="n"/>
      <c r="K47" s="19" t="n"/>
      <c r="L47" s="19" t="n"/>
      <c r="M47" s="19" t="n"/>
      <c r="N47" s="19" t="n"/>
      <c r="O47" s="23">
        <f>IF(J47="","",H47+I47)</f>
        <v/>
      </c>
      <c r="P47" s="23">
        <f>IF(J47="","",J47-O47)</f>
        <v/>
      </c>
      <c r="Q47" s="24">
        <f>IF(OR(J47="",J47=0),"",P47/J47)</f>
        <v/>
      </c>
      <c r="R47" s="25">
        <f>IF(OR(A47="",B47=""),"",B47-A47)</f>
        <v/>
      </c>
      <c r="S47" s="26">
        <f>IF(B47="","",YEAR(B47))</f>
        <v/>
      </c>
      <c r="T47" s="27">
        <f>IF(B47="","",IF(OR(F47="Electric",F47="Plug-in",F47="Hibrid"),1,0))</f>
        <v/>
      </c>
    </row>
    <row r="48">
      <c r="A48" s="18" t="n"/>
      <c r="B48" s="18" t="n"/>
      <c r="C48" s="19" t="n"/>
      <c r="D48" s="19" t="n"/>
      <c r="E48" s="20" t="n"/>
      <c r="F48" s="19" t="n"/>
      <c r="G48" s="21" t="n"/>
      <c r="H48" s="22" t="n"/>
      <c r="I48" s="22" t="n"/>
      <c r="J48" s="22" t="n"/>
      <c r="K48" s="19" t="n"/>
      <c r="L48" s="19" t="n"/>
      <c r="M48" s="19" t="n"/>
      <c r="N48" s="19" t="n"/>
      <c r="O48" s="23">
        <f>IF(J48="","",H48+I48)</f>
        <v/>
      </c>
      <c r="P48" s="23">
        <f>IF(J48="","",J48-O48)</f>
        <v/>
      </c>
      <c r="Q48" s="24">
        <f>IF(OR(J48="",J48=0),"",P48/J48)</f>
        <v/>
      </c>
      <c r="R48" s="25">
        <f>IF(OR(A48="",B48=""),"",B48-A48)</f>
        <v/>
      </c>
      <c r="S48" s="26">
        <f>IF(B48="","",YEAR(B48))</f>
        <v/>
      </c>
      <c r="T48" s="27">
        <f>IF(B48="","",IF(OR(F48="Electric",F48="Plug-in",F48="Hibrid"),1,0))</f>
        <v/>
      </c>
    </row>
    <row r="49">
      <c r="A49" s="18" t="n"/>
      <c r="B49" s="18" t="n"/>
      <c r="C49" s="19" t="n"/>
      <c r="D49" s="19" t="n"/>
      <c r="E49" s="20" t="n"/>
      <c r="F49" s="19" t="n"/>
      <c r="G49" s="21" t="n"/>
      <c r="H49" s="22" t="n"/>
      <c r="I49" s="22" t="n"/>
      <c r="J49" s="22" t="n"/>
      <c r="K49" s="19" t="n"/>
      <c r="L49" s="19" t="n"/>
      <c r="M49" s="19" t="n"/>
      <c r="N49" s="19" t="n"/>
      <c r="O49" s="23">
        <f>IF(J49="","",H49+I49)</f>
        <v/>
      </c>
      <c r="P49" s="23">
        <f>IF(J49="","",J49-O49)</f>
        <v/>
      </c>
      <c r="Q49" s="24">
        <f>IF(OR(J49="",J49=0),"",P49/J49)</f>
        <v/>
      </c>
      <c r="R49" s="25">
        <f>IF(OR(A49="",B49=""),"",B49-A49)</f>
        <v/>
      </c>
      <c r="S49" s="26">
        <f>IF(B49="","",YEAR(B49))</f>
        <v/>
      </c>
      <c r="T49" s="27">
        <f>IF(B49="","",IF(OR(F49="Electric",F49="Plug-in",F49="Hibrid"),1,0))</f>
        <v/>
      </c>
    </row>
    <row r="50">
      <c r="A50" s="18" t="n"/>
      <c r="B50" s="18" t="n"/>
      <c r="C50" s="19" t="n"/>
      <c r="D50" s="19" t="n"/>
      <c r="E50" s="20" t="n"/>
      <c r="F50" s="19" t="n"/>
      <c r="G50" s="21" t="n"/>
      <c r="H50" s="22" t="n"/>
      <c r="I50" s="22" t="n"/>
      <c r="J50" s="22" t="n"/>
      <c r="K50" s="19" t="n"/>
      <c r="L50" s="19" t="n"/>
      <c r="M50" s="19" t="n"/>
      <c r="N50" s="19" t="n"/>
      <c r="O50" s="23">
        <f>IF(J50="","",H50+I50)</f>
        <v/>
      </c>
      <c r="P50" s="23">
        <f>IF(J50="","",J50-O50)</f>
        <v/>
      </c>
      <c r="Q50" s="24">
        <f>IF(OR(J50="",J50=0),"",P50/J50)</f>
        <v/>
      </c>
      <c r="R50" s="25">
        <f>IF(OR(A50="",B50=""),"",B50-A50)</f>
        <v/>
      </c>
      <c r="S50" s="26">
        <f>IF(B50="","",YEAR(B50))</f>
        <v/>
      </c>
      <c r="T50" s="27">
        <f>IF(B50="","",IF(OR(F50="Electric",F50="Plug-in",F50="Hibrid"),1,0))</f>
        <v/>
      </c>
    </row>
    <row r="51">
      <c r="A51" s="18" t="n"/>
      <c r="B51" s="18" t="n"/>
      <c r="C51" s="19" t="n"/>
      <c r="D51" s="19" t="n"/>
      <c r="E51" s="20" t="n"/>
      <c r="F51" s="19" t="n"/>
      <c r="G51" s="21" t="n"/>
      <c r="H51" s="22" t="n"/>
      <c r="I51" s="22" t="n"/>
      <c r="J51" s="22" t="n"/>
      <c r="K51" s="19" t="n"/>
      <c r="L51" s="19" t="n"/>
      <c r="M51" s="19" t="n"/>
      <c r="N51" s="19" t="n"/>
      <c r="O51" s="23">
        <f>IF(J51="","",H51+I51)</f>
        <v/>
      </c>
      <c r="P51" s="23">
        <f>IF(J51="","",J51-O51)</f>
        <v/>
      </c>
      <c r="Q51" s="24">
        <f>IF(OR(J51="",J51=0),"",P51/J51)</f>
        <v/>
      </c>
      <c r="R51" s="25">
        <f>IF(OR(A51="",B51=""),"",B51-A51)</f>
        <v/>
      </c>
      <c r="S51" s="26">
        <f>IF(B51="","",YEAR(B51))</f>
        <v/>
      </c>
      <c r="T51" s="27">
        <f>IF(B51="","",IF(OR(F51="Electric",F51="Plug-in",F51="Hibrid"),1,0))</f>
        <v/>
      </c>
    </row>
    <row r="52">
      <c r="A52" s="18" t="n"/>
      <c r="B52" s="18" t="n"/>
      <c r="C52" s="19" t="n"/>
      <c r="D52" s="19" t="n"/>
      <c r="E52" s="20" t="n"/>
      <c r="F52" s="19" t="n"/>
      <c r="G52" s="21" t="n"/>
      <c r="H52" s="22" t="n"/>
      <c r="I52" s="22" t="n"/>
      <c r="J52" s="22" t="n"/>
      <c r="K52" s="19" t="n"/>
      <c r="L52" s="19" t="n"/>
      <c r="M52" s="19" t="n"/>
      <c r="N52" s="19" t="n"/>
      <c r="O52" s="23">
        <f>IF(J52="","",H52+I52)</f>
        <v/>
      </c>
      <c r="P52" s="23">
        <f>IF(J52="","",J52-O52)</f>
        <v/>
      </c>
      <c r="Q52" s="24">
        <f>IF(OR(J52="",J52=0),"",P52/J52)</f>
        <v/>
      </c>
      <c r="R52" s="25">
        <f>IF(OR(A52="",B52=""),"",B52-A52)</f>
        <v/>
      </c>
      <c r="S52" s="26">
        <f>IF(B52="","",YEAR(B52))</f>
        <v/>
      </c>
      <c r="T52" s="27">
        <f>IF(B52="","",IF(OR(F52="Electric",F52="Plug-in",F52="Hibrid"),1,0))</f>
        <v/>
      </c>
    </row>
    <row r="53">
      <c r="A53" s="18" t="n"/>
      <c r="B53" s="18" t="n"/>
      <c r="C53" s="19" t="n"/>
      <c r="D53" s="19" t="n"/>
      <c r="E53" s="20" t="n"/>
      <c r="F53" s="19" t="n"/>
      <c r="G53" s="21" t="n"/>
      <c r="H53" s="22" t="n"/>
      <c r="I53" s="22" t="n"/>
      <c r="J53" s="22" t="n"/>
      <c r="K53" s="19" t="n"/>
      <c r="L53" s="19" t="n"/>
      <c r="M53" s="19" t="n"/>
      <c r="N53" s="19" t="n"/>
      <c r="O53" s="23">
        <f>IF(J53="","",H53+I53)</f>
        <v/>
      </c>
      <c r="P53" s="23">
        <f>IF(J53="","",J53-O53)</f>
        <v/>
      </c>
      <c r="Q53" s="24">
        <f>IF(OR(J53="",J53=0),"",P53/J53)</f>
        <v/>
      </c>
      <c r="R53" s="25">
        <f>IF(OR(A53="",B53=""),"",B53-A53)</f>
        <v/>
      </c>
      <c r="S53" s="26">
        <f>IF(B53="","",YEAR(B53))</f>
        <v/>
      </c>
      <c r="T53" s="27">
        <f>IF(B53="","",IF(OR(F53="Electric",F53="Plug-in",F53="Hibrid"),1,0))</f>
        <v/>
      </c>
    </row>
    <row r="54">
      <c r="A54" s="18" t="n"/>
      <c r="B54" s="18" t="n"/>
      <c r="C54" s="19" t="n"/>
      <c r="D54" s="19" t="n"/>
      <c r="E54" s="20" t="n"/>
      <c r="F54" s="19" t="n"/>
      <c r="G54" s="21" t="n"/>
      <c r="H54" s="22" t="n"/>
      <c r="I54" s="22" t="n"/>
      <c r="J54" s="22" t="n"/>
      <c r="K54" s="19" t="n"/>
      <c r="L54" s="19" t="n"/>
      <c r="M54" s="19" t="n"/>
      <c r="N54" s="19" t="n"/>
      <c r="O54" s="23">
        <f>IF(J54="","",H54+I54)</f>
        <v/>
      </c>
      <c r="P54" s="23">
        <f>IF(J54="","",J54-O54)</f>
        <v/>
      </c>
      <c r="Q54" s="24">
        <f>IF(OR(J54="",J54=0),"",P54/J54)</f>
        <v/>
      </c>
      <c r="R54" s="25">
        <f>IF(OR(A54="",B54=""),"",B54-A54)</f>
        <v/>
      </c>
      <c r="S54" s="26">
        <f>IF(B54="","",YEAR(B54))</f>
        <v/>
      </c>
      <c r="T54" s="27">
        <f>IF(B54="","",IF(OR(F54="Electric",F54="Plug-in",F54="Hibrid"),1,0))</f>
        <v/>
      </c>
    </row>
    <row r="55">
      <c r="A55" s="18" t="n"/>
      <c r="B55" s="18" t="n"/>
      <c r="C55" s="19" t="n"/>
      <c r="D55" s="19" t="n"/>
      <c r="E55" s="20" t="n"/>
      <c r="F55" s="19" t="n"/>
      <c r="G55" s="21" t="n"/>
      <c r="H55" s="22" t="n"/>
      <c r="I55" s="22" t="n"/>
      <c r="J55" s="22" t="n"/>
      <c r="K55" s="19" t="n"/>
      <c r="L55" s="19" t="n"/>
      <c r="M55" s="19" t="n"/>
      <c r="N55" s="19" t="n"/>
      <c r="O55" s="23">
        <f>IF(J55="","",H55+I55)</f>
        <v/>
      </c>
      <c r="P55" s="23">
        <f>IF(J55="","",J55-O55)</f>
        <v/>
      </c>
      <c r="Q55" s="24">
        <f>IF(OR(J55="",J55=0),"",P55/J55)</f>
        <v/>
      </c>
      <c r="R55" s="25">
        <f>IF(OR(A55="",B55=""),"",B55-A55)</f>
        <v/>
      </c>
      <c r="S55" s="26">
        <f>IF(B55="","",YEAR(B55))</f>
        <v/>
      </c>
      <c r="T55" s="27">
        <f>IF(B55="","",IF(OR(F55="Electric",F55="Plug-in",F55="Hibrid"),1,0))</f>
        <v/>
      </c>
    </row>
    <row r="56">
      <c r="A56" s="18" t="n"/>
      <c r="B56" s="18" t="n"/>
      <c r="C56" s="19" t="n"/>
      <c r="D56" s="19" t="n"/>
      <c r="E56" s="20" t="n"/>
      <c r="F56" s="19" t="n"/>
      <c r="G56" s="21" t="n"/>
      <c r="H56" s="22" t="n"/>
      <c r="I56" s="22" t="n"/>
      <c r="J56" s="22" t="n"/>
      <c r="K56" s="19" t="n"/>
      <c r="L56" s="19" t="n"/>
      <c r="M56" s="19" t="n"/>
      <c r="N56" s="19" t="n"/>
      <c r="O56" s="23">
        <f>IF(J56="","",H56+I56)</f>
        <v/>
      </c>
      <c r="P56" s="23">
        <f>IF(J56="","",J56-O56)</f>
        <v/>
      </c>
      <c r="Q56" s="24">
        <f>IF(OR(J56="",J56=0),"",P56/J56)</f>
        <v/>
      </c>
      <c r="R56" s="25">
        <f>IF(OR(A56="",B56=""),"",B56-A56)</f>
        <v/>
      </c>
      <c r="S56" s="26">
        <f>IF(B56="","",YEAR(B56))</f>
        <v/>
      </c>
      <c r="T56" s="27">
        <f>IF(B56="","",IF(OR(F56="Electric",F56="Plug-in",F56="Hibrid"),1,0))</f>
        <v/>
      </c>
    </row>
    <row r="57">
      <c r="A57" s="18" t="n"/>
      <c r="B57" s="18" t="n"/>
      <c r="C57" s="19" t="n"/>
      <c r="D57" s="19" t="n"/>
      <c r="E57" s="20" t="n"/>
      <c r="F57" s="19" t="n"/>
      <c r="G57" s="21" t="n"/>
      <c r="H57" s="22" t="n"/>
      <c r="I57" s="22" t="n"/>
      <c r="J57" s="22" t="n"/>
      <c r="K57" s="19" t="n"/>
      <c r="L57" s="19" t="n"/>
      <c r="M57" s="19" t="n"/>
      <c r="N57" s="19" t="n"/>
      <c r="O57" s="23">
        <f>IF(J57="","",H57+I57)</f>
        <v/>
      </c>
      <c r="P57" s="23">
        <f>IF(J57="","",J57-O57)</f>
        <v/>
      </c>
      <c r="Q57" s="24">
        <f>IF(OR(J57="",J57=0),"",P57/J57)</f>
        <v/>
      </c>
      <c r="R57" s="25">
        <f>IF(OR(A57="",B57=""),"",B57-A57)</f>
        <v/>
      </c>
      <c r="S57" s="26">
        <f>IF(B57="","",YEAR(B57))</f>
        <v/>
      </c>
      <c r="T57" s="27">
        <f>IF(B57="","",IF(OR(F57="Electric",F57="Plug-in",F57="Hibrid"),1,0))</f>
        <v/>
      </c>
    </row>
    <row r="58">
      <c r="A58" s="18" t="n"/>
      <c r="B58" s="18" t="n"/>
      <c r="C58" s="19" t="n"/>
      <c r="D58" s="19" t="n"/>
      <c r="E58" s="20" t="n"/>
      <c r="F58" s="19" t="n"/>
      <c r="G58" s="21" t="n"/>
      <c r="H58" s="22" t="n"/>
      <c r="I58" s="22" t="n"/>
      <c r="J58" s="22" t="n"/>
      <c r="K58" s="19" t="n"/>
      <c r="L58" s="19" t="n"/>
      <c r="M58" s="19" t="n"/>
      <c r="N58" s="19" t="n"/>
      <c r="O58" s="23">
        <f>IF(J58="","",H58+I58)</f>
        <v/>
      </c>
      <c r="P58" s="23">
        <f>IF(J58="","",J58-O58)</f>
        <v/>
      </c>
      <c r="Q58" s="24">
        <f>IF(OR(J58="",J58=0),"",P58/J58)</f>
        <v/>
      </c>
      <c r="R58" s="25">
        <f>IF(OR(A58="",B58=""),"",B58-A58)</f>
        <v/>
      </c>
      <c r="S58" s="26">
        <f>IF(B58="","",YEAR(B58))</f>
        <v/>
      </c>
      <c r="T58" s="27">
        <f>IF(B58="","",IF(OR(F58="Electric",F58="Plug-in",F58="Hibrid"),1,0))</f>
        <v/>
      </c>
    </row>
    <row r="59">
      <c r="A59" s="18" t="n"/>
      <c r="B59" s="18" t="n"/>
      <c r="C59" s="19" t="n"/>
      <c r="D59" s="19" t="n"/>
      <c r="E59" s="20" t="n"/>
      <c r="F59" s="19" t="n"/>
      <c r="G59" s="21" t="n"/>
      <c r="H59" s="22" t="n"/>
      <c r="I59" s="22" t="n"/>
      <c r="J59" s="22" t="n"/>
      <c r="K59" s="19" t="n"/>
      <c r="L59" s="19" t="n"/>
      <c r="M59" s="19" t="n"/>
      <c r="N59" s="19" t="n"/>
      <c r="O59" s="23">
        <f>IF(J59="","",H59+I59)</f>
        <v/>
      </c>
      <c r="P59" s="23">
        <f>IF(J59="","",J59-O59)</f>
        <v/>
      </c>
      <c r="Q59" s="24">
        <f>IF(OR(J59="",J59=0),"",P59/J59)</f>
        <v/>
      </c>
      <c r="R59" s="25">
        <f>IF(OR(A59="",B59=""),"",B59-A59)</f>
        <v/>
      </c>
      <c r="S59" s="26">
        <f>IF(B59="","",YEAR(B59))</f>
        <v/>
      </c>
      <c r="T59" s="27">
        <f>IF(B59="","",IF(OR(F59="Electric",F59="Plug-in",F59="Hibrid"),1,0))</f>
        <v/>
      </c>
    </row>
    <row r="60">
      <c r="A60" s="18" t="n"/>
      <c r="B60" s="18" t="n"/>
      <c r="C60" s="19" t="n"/>
      <c r="D60" s="19" t="n"/>
      <c r="E60" s="20" t="n"/>
      <c r="F60" s="19" t="n"/>
      <c r="G60" s="21" t="n"/>
      <c r="H60" s="22" t="n"/>
      <c r="I60" s="22" t="n"/>
      <c r="J60" s="22" t="n"/>
      <c r="K60" s="19" t="n"/>
      <c r="L60" s="19" t="n"/>
      <c r="M60" s="19" t="n"/>
      <c r="N60" s="19" t="n"/>
      <c r="O60" s="23">
        <f>IF(J60="","",H60+I60)</f>
        <v/>
      </c>
      <c r="P60" s="23">
        <f>IF(J60="","",J60-O60)</f>
        <v/>
      </c>
      <c r="Q60" s="24">
        <f>IF(OR(J60="",J60=0),"",P60/J60)</f>
        <v/>
      </c>
      <c r="R60" s="25">
        <f>IF(OR(A60="",B60=""),"",B60-A60)</f>
        <v/>
      </c>
      <c r="S60" s="26">
        <f>IF(B60="","",YEAR(B60))</f>
        <v/>
      </c>
      <c r="T60" s="27">
        <f>IF(B60="","",IF(OR(F60="Electric",F60="Plug-in",F60="Hibrid"),1,0))</f>
        <v/>
      </c>
    </row>
    <row r="61">
      <c r="A61" s="18" t="n"/>
      <c r="B61" s="18" t="n"/>
      <c r="C61" s="19" t="n"/>
      <c r="D61" s="19" t="n"/>
      <c r="E61" s="20" t="n"/>
      <c r="F61" s="19" t="n"/>
      <c r="G61" s="21" t="n"/>
      <c r="H61" s="22" t="n"/>
      <c r="I61" s="22" t="n"/>
      <c r="J61" s="22" t="n"/>
      <c r="K61" s="19" t="n"/>
      <c r="L61" s="19" t="n"/>
      <c r="M61" s="19" t="n"/>
      <c r="N61" s="19" t="n"/>
      <c r="O61" s="23">
        <f>IF(J61="","",H61+I61)</f>
        <v/>
      </c>
      <c r="P61" s="23">
        <f>IF(J61="","",J61-O61)</f>
        <v/>
      </c>
      <c r="Q61" s="24">
        <f>IF(OR(J61="",J61=0),"",P61/J61)</f>
        <v/>
      </c>
      <c r="R61" s="25">
        <f>IF(OR(A61="",B61=""),"",B61-A61)</f>
        <v/>
      </c>
      <c r="S61" s="26">
        <f>IF(B61="","",YEAR(B61))</f>
        <v/>
      </c>
      <c r="T61" s="27">
        <f>IF(B61="","",IF(OR(F61="Electric",F61="Plug-in",F61="Hibrid"),1,0))</f>
        <v/>
      </c>
    </row>
    <row r="62">
      <c r="A62" s="18" t="n"/>
      <c r="B62" s="18" t="n"/>
      <c r="C62" s="19" t="n"/>
      <c r="D62" s="19" t="n"/>
      <c r="E62" s="20" t="n"/>
      <c r="F62" s="19" t="n"/>
      <c r="G62" s="21" t="n"/>
      <c r="H62" s="22" t="n"/>
      <c r="I62" s="22" t="n"/>
      <c r="J62" s="22" t="n"/>
      <c r="K62" s="19" t="n"/>
      <c r="L62" s="19" t="n"/>
      <c r="M62" s="19" t="n"/>
      <c r="N62" s="19" t="n"/>
      <c r="O62" s="23">
        <f>IF(J62="","",H62+I62)</f>
        <v/>
      </c>
      <c r="P62" s="23">
        <f>IF(J62="","",J62-O62)</f>
        <v/>
      </c>
      <c r="Q62" s="24">
        <f>IF(OR(J62="",J62=0),"",P62/J62)</f>
        <v/>
      </c>
      <c r="R62" s="25">
        <f>IF(OR(A62="",B62=""),"",B62-A62)</f>
        <v/>
      </c>
      <c r="S62" s="26">
        <f>IF(B62="","",YEAR(B62))</f>
        <v/>
      </c>
      <c r="T62" s="27">
        <f>IF(B62="","",IF(OR(F62="Electric",F62="Plug-in",F62="Hibrid"),1,0))</f>
        <v/>
      </c>
    </row>
    <row r="63">
      <c r="A63" s="18" t="n"/>
      <c r="B63" s="18" t="n"/>
      <c r="C63" s="19" t="n"/>
      <c r="D63" s="19" t="n"/>
      <c r="E63" s="20" t="n"/>
      <c r="F63" s="19" t="n"/>
      <c r="G63" s="21" t="n"/>
      <c r="H63" s="22" t="n"/>
      <c r="I63" s="22" t="n"/>
      <c r="J63" s="22" t="n"/>
      <c r="K63" s="19" t="n"/>
      <c r="L63" s="19" t="n"/>
      <c r="M63" s="19" t="n"/>
      <c r="N63" s="19" t="n"/>
      <c r="O63" s="23">
        <f>IF(J63="","",H63+I63)</f>
        <v/>
      </c>
      <c r="P63" s="23">
        <f>IF(J63="","",J63-O63)</f>
        <v/>
      </c>
      <c r="Q63" s="24">
        <f>IF(OR(J63="",J63=0),"",P63/J63)</f>
        <v/>
      </c>
      <c r="R63" s="25">
        <f>IF(OR(A63="",B63=""),"",B63-A63)</f>
        <v/>
      </c>
      <c r="S63" s="26">
        <f>IF(B63="","",YEAR(B63))</f>
        <v/>
      </c>
      <c r="T63" s="27">
        <f>IF(B63="","",IF(OR(F63="Electric",F63="Plug-in",F63="Hibrid"),1,0))</f>
        <v/>
      </c>
    </row>
    <row r="64">
      <c r="A64" s="18" t="n"/>
      <c r="B64" s="18" t="n"/>
      <c r="C64" s="19" t="n"/>
      <c r="D64" s="19" t="n"/>
      <c r="E64" s="20" t="n"/>
      <c r="F64" s="19" t="n"/>
      <c r="G64" s="21" t="n"/>
      <c r="H64" s="22" t="n"/>
      <c r="I64" s="22" t="n"/>
      <c r="J64" s="22" t="n"/>
      <c r="K64" s="19" t="n"/>
      <c r="L64" s="19" t="n"/>
      <c r="M64" s="19" t="n"/>
      <c r="N64" s="19" t="n"/>
      <c r="O64" s="23">
        <f>IF(J64="","",H64+I64)</f>
        <v/>
      </c>
      <c r="P64" s="23">
        <f>IF(J64="","",J64-O64)</f>
        <v/>
      </c>
      <c r="Q64" s="24">
        <f>IF(OR(J64="",J64=0),"",P64/J64)</f>
        <v/>
      </c>
      <c r="R64" s="25">
        <f>IF(OR(A64="",B64=""),"",B64-A64)</f>
        <v/>
      </c>
      <c r="S64" s="26">
        <f>IF(B64="","",YEAR(B64))</f>
        <v/>
      </c>
      <c r="T64" s="27">
        <f>IF(B64="","",IF(OR(F64="Electric",F64="Plug-in",F64="Hibrid"),1,0))</f>
        <v/>
      </c>
    </row>
    <row r="65">
      <c r="A65" s="18" t="n"/>
      <c r="B65" s="18" t="n"/>
      <c r="C65" s="19" t="n"/>
      <c r="D65" s="19" t="n"/>
      <c r="E65" s="20" t="n"/>
      <c r="F65" s="19" t="n"/>
      <c r="G65" s="21" t="n"/>
      <c r="H65" s="22" t="n"/>
      <c r="I65" s="22" t="n"/>
      <c r="J65" s="22" t="n"/>
      <c r="K65" s="19" t="n"/>
      <c r="L65" s="19" t="n"/>
      <c r="M65" s="19" t="n"/>
      <c r="N65" s="19" t="n"/>
      <c r="O65" s="23">
        <f>IF(J65="","",H65+I65)</f>
        <v/>
      </c>
      <c r="P65" s="23">
        <f>IF(J65="","",J65-O65)</f>
        <v/>
      </c>
      <c r="Q65" s="24">
        <f>IF(OR(J65="",J65=0),"",P65/J65)</f>
        <v/>
      </c>
      <c r="R65" s="25">
        <f>IF(OR(A65="",B65=""),"",B65-A65)</f>
        <v/>
      </c>
      <c r="S65" s="26">
        <f>IF(B65="","",YEAR(B65))</f>
        <v/>
      </c>
      <c r="T65" s="27">
        <f>IF(B65="","",IF(OR(F65="Electric",F65="Plug-in",F65="Hibrid"),1,0))</f>
        <v/>
      </c>
    </row>
    <row r="66">
      <c r="A66" s="18" t="n"/>
      <c r="B66" s="18" t="n"/>
      <c r="C66" s="19" t="n"/>
      <c r="D66" s="19" t="n"/>
      <c r="E66" s="20" t="n"/>
      <c r="F66" s="19" t="n"/>
      <c r="G66" s="21" t="n"/>
      <c r="H66" s="22" t="n"/>
      <c r="I66" s="22" t="n"/>
      <c r="J66" s="22" t="n"/>
      <c r="K66" s="19" t="n"/>
      <c r="L66" s="19" t="n"/>
      <c r="M66" s="19" t="n"/>
      <c r="N66" s="19" t="n"/>
      <c r="O66" s="23">
        <f>IF(J66="","",H66+I66)</f>
        <v/>
      </c>
      <c r="P66" s="23">
        <f>IF(J66="","",J66-O66)</f>
        <v/>
      </c>
      <c r="Q66" s="24">
        <f>IF(OR(J66="",J66=0),"",P66/J66)</f>
        <v/>
      </c>
      <c r="R66" s="25">
        <f>IF(OR(A66="",B66=""),"",B66-A66)</f>
        <v/>
      </c>
      <c r="S66" s="26">
        <f>IF(B66="","",YEAR(B66))</f>
        <v/>
      </c>
      <c r="T66" s="27">
        <f>IF(B66="","",IF(OR(F66="Electric",F66="Plug-in",F66="Hibrid"),1,0))</f>
        <v/>
      </c>
    </row>
    <row r="67">
      <c r="A67" s="18" t="n"/>
      <c r="B67" s="18" t="n"/>
      <c r="C67" s="19" t="n"/>
      <c r="D67" s="19" t="n"/>
      <c r="E67" s="20" t="n"/>
      <c r="F67" s="19" t="n"/>
      <c r="G67" s="21" t="n"/>
      <c r="H67" s="22" t="n"/>
      <c r="I67" s="22" t="n"/>
      <c r="J67" s="22" t="n"/>
      <c r="K67" s="19" t="n"/>
      <c r="L67" s="19" t="n"/>
      <c r="M67" s="19" t="n"/>
      <c r="N67" s="19" t="n"/>
      <c r="O67" s="23">
        <f>IF(J67="","",H67+I67)</f>
        <v/>
      </c>
      <c r="P67" s="23">
        <f>IF(J67="","",J67-O67)</f>
        <v/>
      </c>
      <c r="Q67" s="24">
        <f>IF(OR(J67="",J67=0),"",P67/J67)</f>
        <v/>
      </c>
      <c r="R67" s="25">
        <f>IF(OR(A67="",B67=""),"",B67-A67)</f>
        <v/>
      </c>
      <c r="S67" s="26">
        <f>IF(B67="","",YEAR(B67))</f>
        <v/>
      </c>
      <c r="T67" s="27">
        <f>IF(B67="","",IF(OR(F67="Electric",F67="Plug-in",F67="Hibrid"),1,0))</f>
        <v/>
      </c>
    </row>
    <row r="68">
      <c r="A68" s="18" t="n"/>
      <c r="B68" s="18" t="n"/>
      <c r="C68" s="19" t="n"/>
      <c r="D68" s="19" t="n"/>
      <c r="E68" s="20" t="n"/>
      <c r="F68" s="19" t="n"/>
      <c r="G68" s="21" t="n"/>
      <c r="H68" s="22" t="n"/>
      <c r="I68" s="22" t="n"/>
      <c r="J68" s="22" t="n"/>
      <c r="K68" s="19" t="n"/>
      <c r="L68" s="19" t="n"/>
      <c r="M68" s="19" t="n"/>
      <c r="N68" s="19" t="n"/>
      <c r="O68" s="23">
        <f>IF(J68="","",H68+I68)</f>
        <v/>
      </c>
      <c r="P68" s="23">
        <f>IF(J68="","",J68-O68)</f>
        <v/>
      </c>
      <c r="Q68" s="24">
        <f>IF(OR(J68="",J68=0),"",P68/J68)</f>
        <v/>
      </c>
      <c r="R68" s="25">
        <f>IF(OR(A68="",B68=""),"",B68-A68)</f>
        <v/>
      </c>
      <c r="S68" s="26">
        <f>IF(B68="","",YEAR(B68))</f>
        <v/>
      </c>
      <c r="T68" s="27">
        <f>IF(B68="","",IF(OR(F68="Electric",F68="Plug-in",F68="Hibrid"),1,0))</f>
        <v/>
      </c>
    </row>
    <row r="69">
      <c r="A69" s="18" t="n"/>
      <c r="B69" s="18" t="n"/>
      <c r="C69" s="19" t="n"/>
      <c r="D69" s="19" t="n"/>
      <c r="E69" s="20" t="n"/>
      <c r="F69" s="19" t="n"/>
      <c r="G69" s="21" t="n"/>
      <c r="H69" s="22" t="n"/>
      <c r="I69" s="22" t="n"/>
      <c r="J69" s="22" t="n"/>
      <c r="K69" s="19" t="n"/>
      <c r="L69" s="19" t="n"/>
      <c r="M69" s="19" t="n"/>
      <c r="N69" s="19" t="n"/>
      <c r="O69" s="23">
        <f>IF(J69="","",H69+I69)</f>
        <v/>
      </c>
      <c r="P69" s="23">
        <f>IF(J69="","",J69-O69)</f>
        <v/>
      </c>
      <c r="Q69" s="24">
        <f>IF(OR(J69="",J69=0),"",P69/J69)</f>
        <v/>
      </c>
      <c r="R69" s="25">
        <f>IF(OR(A69="",B69=""),"",B69-A69)</f>
        <v/>
      </c>
      <c r="S69" s="26">
        <f>IF(B69="","",YEAR(B69))</f>
        <v/>
      </c>
      <c r="T69" s="27">
        <f>IF(B69="","",IF(OR(F69="Electric",F69="Plug-in",F69="Hibrid"),1,0))</f>
        <v/>
      </c>
    </row>
    <row r="70">
      <c r="A70" s="18" t="n"/>
      <c r="B70" s="18" t="n"/>
      <c r="C70" s="19" t="n"/>
      <c r="D70" s="19" t="n"/>
      <c r="E70" s="20" t="n"/>
      <c r="F70" s="19" t="n"/>
      <c r="G70" s="21" t="n"/>
      <c r="H70" s="22" t="n"/>
      <c r="I70" s="22" t="n"/>
      <c r="J70" s="22" t="n"/>
      <c r="K70" s="19" t="n"/>
      <c r="L70" s="19" t="n"/>
      <c r="M70" s="19" t="n"/>
      <c r="N70" s="19" t="n"/>
      <c r="O70" s="23">
        <f>IF(J70="","",H70+I70)</f>
        <v/>
      </c>
      <c r="P70" s="23">
        <f>IF(J70="","",J70-O70)</f>
        <v/>
      </c>
      <c r="Q70" s="24">
        <f>IF(OR(J70="",J70=0),"",P70/J70)</f>
        <v/>
      </c>
      <c r="R70" s="25">
        <f>IF(OR(A70="",B70=""),"",B70-A70)</f>
        <v/>
      </c>
      <c r="S70" s="26">
        <f>IF(B70="","",YEAR(B70))</f>
        <v/>
      </c>
      <c r="T70" s="27">
        <f>IF(B70="","",IF(OR(F70="Electric",F70="Plug-in",F70="Hibrid"),1,0))</f>
        <v/>
      </c>
    </row>
    <row r="71">
      <c r="A71" s="18" t="n"/>
      <c r="B71" s="18" t="n"/>
      <c r="C71" s="19" t="n"/>
      <c r="D71" s="19" t="n"/>
      <c r="E71" s="20" t="n"/>
      <c r="F71" s="19" t="n"/>
      <c r="G71" s="21" t="n"/>
      <c r="H71" s="22" t="n"/>
      <c r="I71" s="22" t="n"/>
      <c r="J71" s="22" t="n"/>
      <c r="K71" s="19" t="n"/>
      <c r="L71" s="19" t="n"/>
      <c r="M71" s="19" t="n"/>
      <c r="N71" s="19" t="n"/>
      <c r="O71" s="23">
        <f>IF(J71="","",H71+I71)</f>
        <v/>
      </c>
      <c r="P71" s="23">
        <f>IF(J71="","",J71-O71)</f>
        <v/>
      </c>
      <c r="Q71" s="24">
        <f>IF(OR(J71="",J71=0),"",P71/J71)</f>
        <v/>
      </c>
      <c r="R71" s="25">
        <f>IF(OR(A71="",B71=""),"",B71-A71)</f>
        <v/>
      </c>
      <c r="S71" s="26">
        <f>IF(B71="","",YEAR(B71))</f>
        <v/>
      </c>
      <c r="T71" s="27">
        <f>IF(B71="","",IF(OR(F71="Electric",F71="Plug-in",F71="Hibrid"),1,0))</f>
        <v/>
      </c>
    </row>
    <row r="72">
      <c r="A72" s="18" t="n"/>
      <c r="B72" s="18" t="n"/>
      <c r="C72" s="19" t="n"/>
      <c r="D72" s="19" t="n"/>
      <c r="E72" s="20" t="n"/>
      <c r="F72" s="19" t="n"/>
      <c r="G72" s="21" t="n"/>
      <c r="H72" s="22" t="n"/>
      <c r="I72" s="22" t="n"/>
      <c r="J72" s="22" t="n"/>
      <c r="K72" s="19" t="n"/>
      <c r="L72" s="19" t="n"/>
      <c r="M72" s="19" t="n"/>
      <c r="N72" s="19" t="n"/>
      <c r="O72" s="23">
        <f>IF(J72="","",H72+I72)</f>
        <v/>
      </c>
      <c r="P72" s="23">
        <f>IF(J72="","",J72-O72)</f>
        <v/>
      </c>
      <c r="Q72" s="24">
        <f>IF(OR(J72="",J72=0),"",P72/J72)</f>
        <v/>
      </c>
      <c r="R72" s="25">
        <f>IF(OR(A72="",B72=""),"",B72-A72)</f>
        <v/>
      </c>
      <c r="S72" s="26">
        <f>IF(B72="","",YEAR(B72))</f>
        <v/>
      </c>
      <c r="T72" s="27">
        <f>IF(B72="","",IF(OR(F72="Electric",F72="Plug-in",F72="Hibrid"),1,0))</f>
        <v/>
      </c>
    </row>
    <row r="73">
      <c r="A73" s="18" t="n"/>
      <c r="B73" s="18" t="n"/>
      <c r="C73" s="19" t="n"/>
      <c r="D73" s="19" t="n"/>
      <c r="E73" s="20" t="n"/>
      <c r="F73" s="19" t="n"/>
      <c r="G73" s="21" t="n"/>
      <c r="H73" s="22" t="n"/>
      <c r="I73" s="22" t="n"/>
      <c r="J73" s="22" t="n"/>
      <c r="K73" s="19" t="n"/>
      <c r="L73" s="19" t="n"/>
      <c r="M73" s="19" t="n"/>
      <c r="N73" s="19" t="n"/>
      <c r="O73" s="23">
        <f>IF(J73="","",H73+I73)</f>
        <v/>
      </c>
      <c r="P73" s="23">
        <f>IF(J73="","",J73-O73)</f>
        <v/>
      </c>
      <c r="Q73" s="24">
        <f>IF(OR(J73="",J73=0),"",P73/J73)</f>
        <v/>
      </c>
      <c r="R73" s="25">
        <f>IF(OR(A73="",B73=""),"",B73-A73)</f>
        <v/>
      </c>
      <c r="S73" s="26">
        <f>IF(B73="","",YEAR(B73))</f>
        <v/>
      </c>
      <c r="T73" s="27">
        <f>IF(B73="","",IF(OR(F73="Electric",F73="Plug-in",F73="Hibrid"),1,0))</f>
        <v/>
      </c>
    </row>
    <row r="74">
      <c r="A74" s="18" t="n"/>
      <c r="B74" s="18" t="n"/>
      <c r="C74" s="19" t="n"/>
      <c r="D74" s="19" t="n"/>
      <c r="E74" s="20" t="n"/>
      <c r="F74" s="19" t="n"/>
      <c r="G74" s="21" t="n"/>
      <c r="H74" s="22" t="n"/>
      <c r="I74" s="22" t="n"/>
      <c r="J74" s="22" t="n"/>
      <c r="K74" s="19" t="n"/>
      <c r="L74" s="19" t="n"/>
      <c r="M74" s="19" t="n"/>
      <c r="N74" s="19" t="n"/>
      <c r="O74" s="23">
        <f>IF(J74="","",H74+I74)</f>
        <v/>
      </c>
      <c r="P74" s="23">
        <f>IF(J74="","",J74-O74)</f>
        <v/>
      </c>
      <c r="Q74" s="24">
        <f>IF(OR(J74="",J74=0),"",P74/J74)</f>
        <v/>
      </c>
      <c r="R74" s="25">
        <f>IF(OR(A74="",B74=""),"",B74-A74)</f>
        <v/>
      </c>
      <c r="S74" s="26">
        <f>IF(B74="","",YEAR(B74))</f>
        <v/>
      </c>
      <c r="T74" s="27">
        <f>IF(B74="","",IF(OR(F74="Electric",F74="Plug-in",F74="Hibrid"),1,0))</f>
        <v/>
      </c>
    </row>
    <row r="75">
      <c r="A75" s="18" t="n"/>
      <c r="B75" s="18" t="n"/>
      <c r="C75" s="19" t="n"/>
      <c r="D75" s="19" t="n"/>
      <c r="E75" s="20" t="n"/>
      <c r="F75" s="19" t="n"/>
      <c r="G75" s="21" t="n"/>
      <c r="H75" s="22" t="n"/>
      <c r="I75" s="22" t="n"/>
      <c r="J75" s="22" t="n"/>
      <c r="K75" s="19" t="n"/>
      <c r="L75" s="19" t="n"/>
      <c r="M75" s="19" t="n"/>
      <c r="N75" s="19" t="n"/>
      <c r="O75" s="23">
        <f>IF(J75="","",H75+I75)</f>
        <v/>
      </c>
      <c r="P75" s="23">
        <f>IF(J75="","",J75-O75)</f>
        <v/>
      </c>
      <c r="Q75" s="24">
        <f>IF(OR(J75="",J75=0),"",P75/J75)</f>
        <v/>
      </c>
      <c r="R75" s="25">
        <f>IF(OR(A75="",B75=""),"",B75-A75)</f>
        <v/>
      </c>
      <c r="S75" s="26">
        <f>IF(B75="","",YEAR(B75))</f>
        <v/>
      </c>
      <c r="T75" s="27">
        <f>IF(B75="","",IF(OR(F75="Electric",F75="Plug-in",F75="Hibrid"),1,0))</f>
        <v/>
      </c>
    </row>
    <row r="76">
      <c r="A76" s="18" t="n"/>
      <c r="B76" s="18" t="n"/>
      <c r="C76" s="19" t="n"/>
      <c r="D76" s="19" t="n"/>
      <c r="E76" s="20" t="n"/>
      <c r="F76" s="19" t="n"/>
      <c r="G76" s="21" t="n"/>
      <c r="H76" s="22" t="n"/>
      <c r="I76" s="22" t="n"/>
      <c r="J76" s="22" t="n"/>
      <c r="K76" s="19" t="n"/>
      <c r="L76" s="19" t="n"/>
      <c r="M76" s="19" t="n"/>
      <c r="N76" s="19" t="n"/>
      <c r="O76" s="23">
        <f>IF(J76="","",H76+I76)</f>
        <v/>
      </c>
      <c r="P76" s="23">
        <f>IF(J76="","",J76-O76)</f>
        <v/>
      </c>
      <c r="Q76" s="24">
        <f>IF(OR(J76="",J76=0),"",P76/J76)</f>
        <v/>
      </c>
      <c r="R76" s="25">
        <f>IF(OR(A76="",B76=""),"",B76-A76)</f>
        <v/>
      </c>
      <c r="S76" s="26">
        <f>IF(B76="","",YEAR(B76))</f>
        <v/>
      </c>
      <c r="T76" s="27">
        <f>IF(B76="","",IF(OR(F76="Electric",F76="Plug-in",F76="Hibrid"),1,0))</f>
        <v/>
      </c>
    </row>
    <row r="77">
      <c r="A77" s="18" t="n"/>
      <c r="B77" s="18" t="n"/>
      <c r="C77" s="19" t="n"/>
      <c r="D77" s="19" t="n"/>
      <c r="E77" s="20" t="n"/>
      <c r="F77" s="19" t="n"/>
      <c r="G77" s="21" t="n"/>
      <c r="H77" s="22" t="n"/>
      <c r="I77" s="22" t="n"/>
      <c r="J77" s="22" t="n"/>
      <c r="K77" s="19" t="n"/>
      <c r="L77" s="19" t="n"/>
      <c r="M77" s="19" t="n"/>
      <c r="N77" s="19" t="n"/>
      <c r="O77" s="23">
        <f>IF(J77="","",H77+I77)</f>
        <v/>
      </c>
      <c r="P77" s="23">
        <f>IF(J77="","",J77-O77)</f>
        <v/>
      </c>
      <c r="Q77" s="24">
        <f>IF(OR(J77="",J77=0),"",P77/J77)</f>
        <v/>
      </c>
      <c r="R77" s="25">
        <f>IF(OR(A77="",B77=""),"",B77-A77)</f>
        <v/>
      </c>
      <c r="S77" s="26">
        <f>IF(B77="","",YEAR(B77))</f>
        <v/>
      </c>
      <c r="T77" s="27">
        <f>IF(B77="","",IF(OR(F77="Electric",F77="Plug-in",F77="Hibrid"),1,0))</f>
        <v/>
      </c>
    </row>
    <row r="78">
      <c r="A78" s="18" t="n"/>
      <c r="B78" s="18" t="n"/>
      <c r="C78" s="19" t="n"/>
      <c r="D78" s="19" t="n"/>
      <c r="E78" s="20" t="n"/>
      <c r="F78" s="19" t="n"/>
      <c r="G78" s="21" t="n"/>
      <c r="H78" s="22" t="n"/>
      <c r="I78" s="22" t="n"/>
      <c r="J78" s="22" t="n"/>
      <c r="K78" s="19" t="n"/>
      <c r="L78" s="19" t="n"/>
      <c r="M78" s="19" t="n"/>
      <c r="N78" s="19" t="n"/>
      <c r="O78" s="23">
        <f>IF(J78="","",H78+I78)</f>
        <v/>
      </c>
      <c r="P78" s="23">
        <f>IF(J78="","",J78-O78)</f>
        <v/>
      </c>
      <c r="Q78" s="24">
        <f>IF(OR(J78="",J78=0),"",P78/J78)</f>
        <v/>
      </c>
      <c r="R78" s="25">
        <f>IF(OR(A78="",B78=""),"",B78-A78)</f>
        <v/>
      </c>
      <c r="S78" s="26">
        <f>IF(B78="","",YEAR(B78))</f>
        <v/>
      </c>
      <c r="T78" s="27">
        <f>IF(B78="","",IF(OR(F78="Electric",F78="Plug-in",F78="Hibrid"),1,0))</f>
        <v/>
      </c>
    </row>
    <row r="79">
      <c r="A79" s="18" t="n"/>
      <c r="B79" s="18" t="n"/>
      <c r="C79" s="19" t="n"/>
      <c r="D79" s="19" t="n"/>
      <c r="E79" s="20" t="n"/>
      <c r="F79" s="19" t="n"/>
      <c r="G79" s="21" t="n"/>
      <c r="H79" s="22" t="n"/>
      <c r="I79" s="22" t="n"/>
      <c r="J79" s="22" t="n"/>
      <c r="K79" s="19" t="n"/>
      <c r="L79" s="19" t="n"/>
      <c r="M79" s="19" t="n"/>
      <c r="N79" s="19" t="n"/>
      <c r="O79" s="23">
        <f>IF(J79="","",H79+I79)</f>
        <v/>
      </c>
      <c r="P79" s="23">
        <f>IF(J79="","",J79-O79)</f>
        <v/>
      </c>
      <c r="Q79" s="24">
        <f>IF(OR(J79="",J79=0),"",P79/J79)</f>
        <v/>
      </c>
      <c r="R79" s="25">
        <f>IF(OR(A79="",B79=""),"",B79-A79)</f>
        <v/>
      </c>
      <c r="S79" s="26">
        <f>IF(B79="","",YEAR(B79))</f>
        <v/>
      </c>
      <c r="T79" s="27">
        <f>IF(B79="","",IF(OR(F79="Electric",F79="Plug-in",F79="Hibrid"),1,0))</f>
        <v/>
      </c>
    </row>
    <row r="80">
      <c r="A80" s="18" t="n"/>
      <c r="B80" s="18" t="n"/>
      <c r="C80" s="19" t="n"/>
      <c r="D80" s="19" t="n"/>
      <c r="E80" s="20" t="n"/>
      <c r="F80" s="19" t="n"/>
      <c r="G80" s="21" t="n"/>
      <c r="H80" s="22" t="n"/>
      <c r="I80" s="22" t="n"/>
      <c r="J80" s="22" t="n"/>
      <c r="K80" s="19" t="n"/>
      <c r="L80" s="19" t="n"/>
      <c r="M80" s="19" t="n"/>
      <c r="N80" s="19" t="n"/>
      <c r="O80" s="23">
        <f>IF(J80="","",H80+I80)</f>
        <v/>
      </c>
      <c r="P80" s="23">
        <f>IF(J80="","",J80-O80)</f>
        <v/>
      </c>
      <c r="Q80" s="24">
        <f>IF(OR(J80="",J80=0),"",P80/J80)</f>
        <v/>
      </c>
      <c r="R80" s="25">
        <f>IF(OR(A80="",B80=""),"",B80-A80)</f>
        <v/>
      </c>
      <c r="S80" s="26">
        <f>IF(B80="","",YEAR(B80))</f>
        <v/>
      </c>
      <c r="T80" s="27">
        <f>IF(B80="","",IF(OR(F80="Electric",F80="Plug-in",F80="Hibrid"),1,0))</f>
        <v/>
      </c>
    </row>
    <row r="81">
      <c r="A81" s="18" t="n"/>
      <c r="B81" s="18" t="n"/>
      <c r="C81" s="19" t="n"/>
      <c r="D81" s="19" t="n"/>
      <c r="E81" s="20" t="n"/>
      <c r="F81" s="19" t="n"/>
      <c r="G81" s="21" t="n"/>
      <c r="H81" s="22" t="n"/>
      <c r="I81" s="22" t="n"/>
      <c r="J81" s="22" t="n"/>
      <c r="K81" s="19" t="n"/>
      <c r="L81" s="19" t="n"/>
      <c r="M81" s="19" t="n"/>
      <c r="N81" s="19" t="n"/>
      <c r="O81" s="23">
        <f>IF(J81="","",H81+I81)</f>
        <v/>
      </c>
      <c r="P81" s="23">
        <f>IF(J81="","",J81-O81)</f>
        <v/>
      </c>
      <c r="Q81" s="24">
        <f>IF(OR(J81="",J81=0),"",P81/J81)</f>
        <v/>
      </c>
      <c r="R81" s="25">
        <f>IF(OR(A81="",B81=""),"",B81-A81)</f>
        <v/>
      </c>
      <c r="S81" s="26">
        <f>IF(B81="","",YEAR(B81))</f>
        <v/>
      </c>
      <c r="T81" s="27">
        <f>IF(B81="","",IF(OR(F81="Electric",F81="Plug-in",F81="Hibrid"),1,0))</f>
        <v/>
      </c>
    </row>
    <row r="82">
      <c r="A82" s="18" t="n"/>
      <c r="B82" s="18" t="n"/>
      <c r="C82" s="19" t="n"/>
      <c r="D82" s="19" t="n"/>
      <c r="E82" s="20" t="n"/>
      <c r="F82" s="19" t="n"/>
      <c r="G82" s="21" t="n"/>
      <c r="H82" s="22" t="n"/>
      <c r="I82" s="22" t="n"/>
      <c r="J82" s="22" t="n"/>
      <c r="K82" s="19" t="n"/>
      <c r="L82" s="19" t="n"/>
      <c r="M82" s="19" t="n"/>
      <c r="N82" s="19" t="n"/>
      <c r="O82" s="23">
        <f>IF(J82="","",H82+I82)</f>
        <v/>
      </c>
      <c r="P82" s="23">
        <f>IF(J82="","",J82-O82)</f>
        <v/>
      </c>
      <c r="Q82" s="24">
        <f>IF(OR(J82="",J82=0),"",P82/J82)</f>
        <v/>
      </c>
      <c r="R82" s="25">
        <f>IF(OR(A82="",B82=""),"",B82-A82)</f>
        <v/>
      </c>
      <c r="S82" s="26">
        <f>IF(B82="","",YEAR(B82))</f>
        <v/>
      </c>
      <c r="T82" s="27">
        <f>IF(B82="","",IF(OR(F82="Electric",F82="Plug-in",F82="Hibrid"),1,0))</f>
        <v/>
      </c>
    </row>
    <row r="83">
      <c r="A83" s="18" t="n"/>
      <c r="B83" s="18" t="n"/>
      <c r="C83" s="19" t="n"/>
      <c r="D83" s="19" t="n"/>
      <c r="E83" s="20" t="n"/>
      <c r="F83" s="19" t="n"/>
      <c r="G83" s="21" t="n"/>
      <c r="H83" s="22" t="n"/>
      <c r="I83" s="22" t="n"/>
      <c r="J83" s="22" t="n"/>
      <c r="K83" s="19" t="n"/>
      <c r="L83" s="19" t="n"/>
      <c r="M83" s="19" t="n"/>
      <c r="N83" s="19" t="n"/>
      <c r="O83" s="23">
        <f>IF(J83="","",H83+I83)</f>
        <v/>
      </c>
      <c r="P83" s="23">
        <f>IF(J83="","",J83-O83)</f>
        <v/>
      </c>
      <c r="Q83" s="24">
        <f>IF(OR(J83="",J83=0),"",P83/J83)</f>
        <v/>
      </c>
      <c r="R83" s="25">
        <f>IF(OR(A83="",B83=""),"",B83-A83)</f>
        <v/>
      </c>
      <c r="S83" s="26">
        <f>IF(B83="","",YEAR(B83))</f>
        <v/>
      </c>
      <c r="T83" s="27">
        <f>IF(B83="","",IF(OR(F83="Electric",F83="Plug-in",F83="Hibrid"),1,0))</f>
        <v/>
      </c>
    </row>
    <row r="84">
      <c r="A84" s="18" t="n"/>
      <c r="B84" s="18" t="n"/>
      <c r="C84" s="19" t="n"/>
      <c r="D84" s="19" t="n"/>
      <c r="E84" s="20" t="n"/>
      <c r="F84" s="19" t="n"/>
      <c r="G84" s="21" t="n"/>
      <c r="H84" s="22" t="n"/>
      <c r="I84" s="22" t="n"/>
      <c r="J84" s="22" t="n"/>
      <c r="K84" s="19" t="n"/>
      <c r="L84" s="19" t="n"/>
      <c r="M84" s="19" t="n"/>
      <c r="N84" s="19" t="n"/>
      <c r="O84" s="23">
        <f>IF(J84="","",H84+I84)</f>
        <v/>
      </c>
      <c r="P84" s="23">
        <f>IF(J84="","",J84-O84)</f>
        <v/>
      </c>
      <c r="Q84" s="24">
        <f>IF(OR(J84="",J84=0),"",P84/J84)</f>
        <v/>
      </c>
      <c r="R84" s="25">
        <f>IF(OR(A84="",B84=""),"",B84-A84)</f>
        <v/>
      </c>
      <c r="S84" s="26">
        <f>IF(B84="","",YEAR(B84))</f>
        <v/>
      </c>
      <c r="T84" s="27">
        <f>IF(B84="","",IF(OR(F84="Electric",F84="Plug-in",F84="Hibrid"),1,0))</f>
        <v/>
      </c>
    </row>
    <row r="85">
      <c r="A85" s="18" t="n"/>
      <c r="B85" s="18" t="n"/>
      <c r="C85" s="19" t="n"/>
      <c r="D85" s="19" t="n"/>
      <c r="E85" s="20" t="n"/>
      <c r="F85" s="19" t="n"/>
      <c r="G85" s="21" t="n"/>
      <c r="H85" s="22" t="n"/>
      <c r="I85" s="22" t="n"/>
      <c r="J85" s="22" t="n"/>
      <c r="K85" s="19" t="n"/>
      <c r="L85" s="19" t="n"/>
      <c r="M85" s="19" t="n"/>
      <c r="N85" s="19" t="n"/>
      <c r="O85" s="23">
        <f>IF(J85="","",H85+I85)</f>
        <v/>
      </c>
      <c r="P85" s="23">
        <f>IF(J85="","",J85-O85)</f>
        <v/>
      </c>
      <c r="Q85" s="24">
        <f>IF(OR(J85="",J85=0),"",P85/J85)</f>
        <v/>
      </c>
      <c r="R85" s="25">
        <f>IF(OR(A85="",B85=""),"",B85-A85)</f>
        <v/>
      </c>
      <c r="S85" s="26">
        <f>IF(B85="","",YEAR(B85))</f>
        <v/>
      </c>
      <c r="T85" s="27">
        <f>IF(B85="","",IF(OR(F85="Electric",F85="Plug-in",F85="Hibrid"),1,0))</f>
        <v/>
      </c>
    </row>
    <row r="86">
      <c r="A86" s="18" t="n"/>
      <c r="B86" s="18" t="n"/>
      <c r="C86" s="19" t="n"/>
      <c r="D86" s="19" t="n"/>
      <c r="E86" s="20" t="n"/>
      <c r="F86" s="19" t="n"/>
      <c r="G86" s="21" t="n"/>
      <c r="H86" s="22" t="n"/>
      <c r="I86" s="22" t="n"/>
      <c r="J86" s="22" t="n"/>
      <c r="K86" s="19" t="n"/>
      <c r="L86" s="19" t="n"/>
      <c r="M86" s="19" t="n"/>
      <c r="N86" s="19" t="n"/>
      <c r="O86" s="23">
        <f>IF(J86="","",H86+I86)</f>
        <v/>
      </c>
      <c r="P86" s="23">
        <f>IF(J86="","",J86-O86)</f>
        <v/>
      </c>
      <c r="Q86" s="24">
        <f>IF(OR(J86="",J86=0),"",P86/J86)</f>
        <v/>
      </c>
      <c r="R86" s="25">
        <f>IF(OR(A86="",B86=""),"",B86-A86)</f>
        <v/>
      </c>
      <c r="S86" s="26">
        <f>IF(B86="","",YEAR(B86))</f>
        <v/>
      </c>
      <c r="T86" s="27">
        <f>IF(B86="","",IF(OR(F86="Electric",F86="Plug-in",F86="Hibrid"),1,0))</f>
        <v/>
      </c>
    </row>
    <row r="87">
      <c r="A87" s="18" t="n"/>
      <c r="B87" s="18" t="n"/>
      <c r="C87" s="19" t="n"/>
      <c r="D87" s="19" t="n"/>
      <c r="E87" s="20" t="n"/>
      <c r="F87" s="19" t="n"/>
      <c r="G87" s="21" t="n"/>
      <c r="H87" s="22" t="n"/>
      <c r="I87" s="22" t="n"/>
      <c r="J87" s="22" t="n"/>
      <c r="K87" s="19" t="n"/>
      <c r="L87" s="19" t="n"/>
      <c r="M87" s="19" t="n"/>
      <c r="N87" s="19" t="n"/>
      <c r="O87" s="23">
        <f>IF(J87="","",H87+I87)</f>
        <v/>
      </c>
      <c r="P87" s="23">
        <f>IF(J87="","",J87-O87)</f>
        <v/>
      </c>
      <c r="Q87" s="24">
        <f>IF(OR(J87="",J87=0),"",P87/J87)</f>
        <v/>
      </c>
      <c r="R87" s="25">
        <f>IF(OR(A87="",B87=""),"",B87-A87)</f>
        <v/>
      </c>
      <c r="S87" s="26">
        <f>IF(B87="","",YEAR(B87))</f>
        <v/>
      </c>
      <c r="T87" s="27">
        <f>IF(B87="","",IF(OR(F87="Electric",F87="Plug-in",F87="Hibrid"),1,0))</f>
        <v/>
      </c>
    </row>
    <row r="88">
      <c r="A88" s="18" t="n"/>
      <c r="B88" s="18" t="n"/>
      <c r="C88" s="19" t="n"/>
      <c r="D88" s="19" t="n"/>
      <c r="E88" s="20" t="n"/>
      <c r="F88" s="19" t="n"/>
      <c r="G88" s="21" t="n"/>
      <c r="H88" s="22" t="n"/>
      <c r="I88" s="22" t="n"/>
      <c r="J88" s="22" t="n"/>
      <c r="K88" s="19" t="n"/>
      <c r="L88" s="19" t="n"/>
      <c r="M88" s="19" t="n"/>
      <c r="N88" s="19" t="n"/>
      <c r="O88" s="23">
        <f>IF(J88="","",H88+I88)</f>
        <v/>
      </c>
      <c r="P88" s="23">
        <f>IF(J88="","",J88-O88)</f>
        <v/>
      </c>
      <c r="Q88" s="24">
        <f>IF(OR(J88="",J88=0),"",P88/J88)</f>
        <v/>
      </c>
      <c r="R88" s="25">
        <f>IF(OR(A88="",B88=""),"",B88-A88)</f>
        <v/>
      </c>
      <c r="S88" s="26">
        <f>IF(B88="","",YEAR(B88))</f>
        <v/>
      </c>
      <c r="T88" s="27">
        <f>IF(B88="","",IF(OR(F88="Electric",F88="Plug-in",F88="Hibrid"),1,0))</f>
        <v/>
      </c>
    </row>
    <row r="89">
      <c r="A89" s="18" t="n"/>
      <c r="B89" s="18" t="n"/>
      <c r="C89" s="19" t="n"/>
      <c r="D89" s="19" t="n"/>
      <c r="E89" s="20" t="n"/>
      <c r="F89" s="19" t="n"/>
      <c r="G89" s="21" t="n"/>
      <c r="H89" s="22" t="n"/>
      <c r="I89" s="22" t="n"/>
      <c r="J89" s="22" t="n"/>
      <c r="K89" s="19" t="n"/>
      <c r="L89" s="19" t="n"/>
      <c r="M89" s="19" t="n"/>
      <c r="N89" s="19" t="n"/>
      <c r="O89" s="23">
        <f>IF(J89="","",H89+I89)</f>
        <v/>
      </c>
      <c r="P89" s="23">
        <f>IF(J89="","",J89-O89)</f>
        <v/>
      </c>
      <c r="Q89" s="24">
        <f>IF(OR(J89="",J89=0),"",P89/J89)</f>
        <v/>
      </c>
      <c r="R89" s="25">
        <f>IF(OR(A89="",B89=""),"",B89-A89)</f>
        <v/>
      </c>
      <c r="S89" s="26">
        <f>IF(B89="","",YEAR(B89))</f>
        <v/>
      </c>
      <c r="T89" s="27">
        <f>IF(B89="","",IF(OR(F89="Electric",F89="Plug-in",F89="Hibrid"),1,0))</f>
        <v/>
      </c>
    </row>
    <row r="90">
      <c r="A90" s="18" t="n"/>
      <c r="B90" s="18" t="n"/>
      <c r="C90" s="19" t="n"/>
      <c r="D90" s="19" t="n"/>
      <c r="E90" s="20" t="n"/>
      <c r="F90" s="19" t="n"/>
      <c r="G90" s="21" t="n"/>
      <c r="H90" s="22" t="n"/>
      <c r="I90" s="22" t="n"/>
      <c r="J90" s="22" t="n"/>
      <c r="K90" s="19" t="n"/>
      <c r="L90" s="19" t="n"/>
      <c r="M90" s="19" t="n"/>
      <c r="N90" s="19" t="n"/>
      <c r="O90" s="23">
        <f>IF(J90="","",H90+I90)</f>
        <v/>
      </c>
      <c r="P90" s="23">
        <f>IF(J90="","",J90-O90)</f>
        <v/>
      </c>
      <c r="Q90" s="24">
        <f>IF(OR(J90="",J90=0),"",P90/J90)</f>
        <v/>
      </c>
      <c r="R90" s="25">
        <f>IF(OR(A90="",B90=""),"",B90-A90)</f>
        <v/>
      </c>
      <c r="S90" s="26">
        <f>IF(B90="","",YEAR(B90))</f>
        <v/>
      </c>
      <c r="T90" s="27">
        <f>IF(B90="","",IF(OR(F90="Electric",F90="Plug-in",F90="Hibrid"),1,0))</f>
        <v/>
      </c>
    </row>
    <row r="91">
      <c r="A91" s="18" t="n"/>
      <c r="B91" s="18" t="n"/>
      <c r="C91" s="19" t="n"/>
      <c r="D91" s="19" t="n"/>
      <c r="E91" s="20" t="n"/>
      <c r="F91" s="19" t="n"/>
      <c r="G91" s="21" t="n"/>
      <c r="H91" s="22" t="n"/>
      <c r="I91" s="22" t="n"/>
      <c r="J91" s="22" t="n"/>
      <c r="K91" s="19" t="n"/>
      <c r="L91" s="19" t="n"/>
      <c r="M91" s="19" t="n"/>
      <c r="N91" s="19" t="n"/>
      <c r="O91" s="23">
        <f>IF(J91="","",H91+I91)</f>
        <v/>
      </c>
      <c r="P91" s="23">
        <f>IF(J91="","",J91-O91)</f>
        <v/>
      </c>
      <c r="Q91" s="24">
        <f>IF(OR(J91="",J91=0),"",P91/J91)</f>
        <v/>
      </c>
      <c r="R91" s="25">
        <f>IF(OR(A91="",B91=""),"",B91-A91)</f>
        <v/>
      </c>
      <c r="S91" s="26">
        <f>IF(B91="","",YEAR(B91))</f>
        <v/>
      </c>
      <c r="T91" s="27">
        <f>IF(B91="","",IF(OR(F91="Electric",F91="Plug-in",F91="Hibrid"),1,0))</f>
        <v/>
      </c>
    </row>
    <row r="92">
      <c r="A92" s="18" t="n"/>
      <c r="B92" s="18" t="n"/>
      <c r="C92" s="19" t="n"/>
      <c r="D92" s="19" t="n"/>
      <c r="E92" s="20" t="n"/>
      <c r="F92" s="19" t="n"/>
      <c r="G92" s="21" t="n"/>
      <c r="H92" s="22" t="n"/>
      <c r="I92" s="22" t="n"/>
      <c r="J92" s="22" t="n"/>
      <c r="K92" s="19" t="n"/>
      <c r="L92" s="19" t="n"/>
      <c r="M92" s="19" t="n"/>
      <c r="N92" s="19" t="n"/>
      <c r="O92" s="23">
        <f>IF(J92="","",H92+I92)</f>
        <v/>
      </c>
      <c r="P92" s="23">
        <f>IF(J92="","",J92-O92)</f>
        <v/>
      </c>
      <c r="Q92" s="24">
        <f>IF(OR(J92="",J92=0),"",P92/J92)</f>
        <v/>
      </c>
      <c r="R92" s="25">
        <f>IF(OR(A92="",B92=""),"",B92-A92)</f>
        <v/>
      </c>
      <c r="S92" s="26">
        <f>IF(B92="","",YEAR(B92))</f>
        <v/>
      </c>
      <c r="T92" s="27">
        <f>IF(B92="","",IF(OR(F92="Electric",F92="Plug-in",F92="Hibrid"),1,0))</f>
        <v/>
      </c>
    </row>
    <row r="93">
      <c r="A93" s="18" t="n"/>
      <c r="B93" s="18" t="n"/>
      <c r="C93" s="19" t="n"/>
      <c r="D93" s="19" t="n"/>
      <c r="E93" s="20" t="n"/>
      <c r="F93" s="19" t="n"/>
      <c r="G93" s="21" t="n"/>
      <c r="H93" s="22" t="n"/>
      <c r="I93" s="22" t="n"/>
      <c r="J93" s="22" t="n"/>
      <c r="K93" s="19" t="n"/>
      <c r="L93" s="19" t="n"/>
      <c r="M93" s="19" t="n"/>
      <c r="N93" s="19" t="n"/>
      <c r="O93" s="23">
        <f>IF(J93="","",H93+I93)</f>
        <v/>
      </c>
      <c r="P93" s="23">
        <f>IF(J93="","",J93-O93)</f>
        <v/>
      </c>
      <c r="Q93" s="24">
        <f>IF(OR(J93="",J93=0),"",P93/J93)</f>
        <v/>
      </c>
      <c r="R93" s="25">
        <f>IF(OR(A93="",B93=""),"",B93-A93)</f>
        <v/>
      </c>
      <c r="S93" s="26">
        <f>IF(B93="","",YEAR(B93))</f>
        <v/>
      </c>
      <c r="T93" s="27">
        <f>IF(B93="","",IF(OR(F93="Electric",F93="Plug-in",F93="Hibrid"),1,0))</f>
        <v/>
      </c>
    </row>
    <row r="94">
      <c r="A94" s="18" t="n"/>
      <c r="B94" s="18" t="n"/>
      <c r="C94" s="19" t="n"/>
      <c r="D94" s="19" t="n"/>
      <c r="E94" s="20" t="n"/>
      <c r="F94" s="19" t="n"/>
      <c r="G94" s="21" t="n"/>
      <c r="H94" s="22" t="n"/>
      <c r="I94" s="22" t="n"/>
      <c r="J94" s="22" t="n"/>
      <c r="K94" s="19" t="n"/>
      <c r="L94" s="19" t="n"/>
      <c r="M94" s="19" t="n"/>
      <c r="N94" s="19" t="n"/>
      <c r="O94" s="23">
        <f>IF(J94="","",H94+I94)</f>
        <v/>
      </c>
      <c r="P94" s="23">
        <f>IF(J94="","",J94-O94)</f>
        <v/>
      </c>
      <c r="Q94" s="24">
        <f>IF(OR(J94="",J94=0),"",P94/J94)</f>
        <v/>
      </c>
      <c r="R94" s="25">
        <f>IF(OR(A94="",B94=""),"",B94-A94)</f>
        <v/>
      </c>
      <c r="S94" s="26">
        <f>IF(B94="","",YEAR(B94))</f>
        <v/>
      </c>
      <c r="T94" s="27">
        <f>IF(B94="","",IF(OR(F94="Electric",F94="Plug-in",F94="Hibrid"),1,0))</f>
        <v/>
      </c>
    </row>
    <row r="95">
      <c r="A95" s="18" t="n"/>
      <c r="B95" s="18" t="n"/>
      <c r="C95" s="19" t="n"/>
      <c r="D95" s="19" t="n"/>
      <c r="E95" s="20" t="n"/>
      <c r="F95" s="19" t="n"/>
      <c r="G95" s="21" t="n"/>
      <c r="H95" s="22" t="n"/>
      <c r="I95" s="22" t="n"/>
      <c r="J95" s="22" t="n"/>
      <c r="K95" s="19" t="n"/>
      <c r="L95" s="19" t="n"/>
      <c r="M95" s="19" t="n"/>
      <c r="N95" s="19" t="n"/>
      <c r="O95" s="23">
        <f>IF(J95="","",H95+I95)</f>
        <v/>
      </c>
      <c r="P95" s="23">
        <f>IF(J95="","",J95-O95)</f>
        <v/>
      </c>
      <c r="Q95" s="24">
        <f>IF(OR(J95="",J95=0),"",P95/J95)</f>
        <v/>
      </c>
      <c r="R95" s="25">
        <f>IF(OR(A95="",B95=""),"",B95-A95)</f>
        <v/>
      </c>
      <c r="S95" s="26">
        <f>IF(B95="","",YEAR(B95))</f>
        <v/>
      </c>
      <c r="T95" s="27">
        <f>IF(B95="","",IF(OR(F95="Electric",F95="Plug-in",F95="Hibrid"),1,0))</f>
        <v/>
      </c>
    </row>
    <row r="96">
      <c r="A96" s="18" t="n"/>
      <c r="B96" s="18" t="n"/>
      <c r="C96" s="19" t="n"/>
      <c r="D96" s="19" t="n"/>
      <c r="E96" s="20" t="n"/>
      <c r="F96" s="19" t="n"/>
      <c r="G96" s="21" t="n"/>
      <c r="H96" s="22" t="n"/>
      <c r="I96" s="22" t="n"/>
      <c r="J96" s="22" t="n"/>
      <c r="K96" s="19" t="n"/>
      <c r="L96" s="19" t="n"/>
      <c r="M96" s="19" t="n"/>
      <c r="N96" s="19" t="n"/>
      <c r="O96" s="23">
        <f>IF(J96="","",H96+I96)</f>
        <v/>
      </c>
      <c r="P96" s="23">
        <f>IF(J96="","",J96-O96)</f>
        <v/>
      </c>
      <c r="Q96" s="24">
        <f>IF(OR(J96="",J96=0),"",P96/J96)</f>
        <v/>
      </c>
      <c r="R96" s="25">
        <f>IF(OR(A96="",B96=""),"",B96-A96)</f>
        <v/>
      </c>
      <c r="S96" s="26">
        <f>IF(B96="","",YEAR(B96))</f>
        <v/>
      </c>
      <c r="T96" s="27">
        <f>IF(B96="","",IF(OR(F96="Electric",F96="Plug-in",F96="Hibrid"),1,0))</f>
        <v/>
      </c>
    </row>
    <row r="97">
      <c r="A97" s="18" t="n"/>
      <c r="B97" s="18" t="n"/>
      <c r="C97" s="19" t="n"/>
      <c r="D97" s="19" t="n"/>
      <c r="E97" s="20" t="n"/>
      <c r="F97" s="19" t="n"/>
      <c r="G97" s="21" t="n"/>
      <c r="H97" s="22" t="n"/>
      <c r="I97" s="22" t="n"/>
      <c r="J97" s="22" t="n"/>
      <c r="K97" s="19" t="n"/>
      <c r="L97" s="19" t="n"/>
      <c r="M97" s="19" t="n"/>
      <c r="N97" s="19" t="n"/>
      <c r="O97" s="23">
        <f>IF(J97="","",H97+I97)</f>
        <v/>
      </c>
      <c r="P97" s="23">
        <f>IF(J97="","",J97-O97)</f>
        <v/>
      </c>
      <c r="Q97" s="24">
        <f>IF(OR(J97="",J97=0),"",P97/J97)</f>
        <v/>
      </c>
      <c r="R97" s="25">
        <f>IF(OR(A97="",B97=""),"",B97-A97)</f>
        <v/>
      </c>
      <c r="S97" s="26">
        <f>IF(B97="","",YEAR(B97))</f>
        <v/>
      </c>
      <c r="T97" s="27">
        <f>IF(B97="","",IF(OR(F97="Electric",F97="Plug-in",F97="Hibrid"),1,0))</f>
        <v/>
      </c>
    </row>
    <row r="98">
      <c r="A98" s="18" t="n"/>
      <c r="B98" s="18" t="n"/>
      <c r="C98" s="19" t="n"/>
      <c r="D98" s="19" t="n"/>
      <c r="E98" s="20" t="n"/>
      <c r="F98" s="19" t="n"/>
      <c r="G98" s="21" t="n"/>
      <c r="H98" s="22" t="n"/>
      <c r="I98" s="22" t="n"/>
      <c r="J98" s="22" t="n"/>
      <c r="K98" s="19" t="n"/>
      <c r="L98" s="19" t="n"/>
      <c r="M98" s="19" t="n"/>
      <c r="N98" s="19" t="n"/>
      <c r="O98" s="23">
        <f>IF(J98="","",H98+I98)</f>
        <v/>
      </c>
      <c r="P98" s="23">
        <f>IF(J98="","",J98-O98)</f>
        <v/>
      </c>
      <c r="Q98" s="24">
        <f>IF(OR(J98="",J98=0),"",P98/J98)</f>
        <v/>
      </c>
      <c r="R98" s="25">
        <f>IF(OR(A98="",B98=""),"",B98-A98)</f>
        <v/>
      </c>
      <c r="S98" s="26">
        <f>IF(B98="","",YEAR(B98))</f>
        <v/>
      </c>
      <c r="T98" s="27">
        <f>IF(B98="","",IF(OR(F98="Electric",F98="Plug-in",F98="Hibrid"),1,0))</f>
        <v/>
      </c>
    </row>
    <row r="99">
      <c r="A99" s="18" t="n"/>
      <c r="B99" s="18" t="n"/>
      <c r="C99" s="19" t="n"/>
      <c r="D99" s="19" t="n"/>
      <c r="E99" s="20" t="n"/>
      <c r="F99" s="19" t="n"/>
      <c r="G99" s="21" t="n"/>
      <c r="H99" s="22" t="n"/>
      <c r="I99" s="22" t="n"/>
      <c r="J99" s="22" t="n"/>
      <c r="K99" s="19" t="n"/>
      <c r="L99" s="19" t="n"/>
      <c r="M99" s="19" t="n"/>
      <c r="N99" s="19" t="n"/>
      <c r="O99" s="23">
        <f>IF(J99="","",H99+I99)</f>
        <v/>
      </c>
      <c r="P99" s="23">
        <f>IF(J99="","",J99-O99)</f>
        <v/>
      </c>
      <c r="Q99" s="24">
        <f>IF(OR(J99="",J99=0),"",P99/J99)</f>
        <v/>
      </c>
      <c r="R99" s="25">
        <f>IF(OR(A99="",B99=""),"",B99-A99)</f>
        <v/>
      </c>
      <c r="S99" s="26">
        <f>IF(B99="","",YEAR(B99))</f>
        <v/>
      </c>
      <c r="T99" s="27">
        <f>IF(B99="","",IF(OR(F99="Electric",F99="Plug-in",F99="Hibrid"),1,0))</f>
        <v/>
      </c>
    </row>
    <row r="100">
      <c r="A100" s="18" t="n"/>
      <c r="B100" s="18" t="n"/>
      <c r="C100" s="19" t="n"/>
      <c r="D100" s="19" t="n"/>
      <c r="E100" s="20" t="n"/>
      <c r="F100" s="19" t="n"/>
      <c r="G100" s="21" t="n"/>
      <c r="H100" s="22" t="n"/>
      <c r="I100" s="22" t="n"/>
      <c r="J100" s="22" t="n"/>
      <c r="K100" s="19" t="n"/>
      <c r="L100" s="19" t="n"/>
      <c r="M100" s="19" t="n"/>
      <c r="N100" s="19" t="n"/>
      <c r="O100" s="23">
        <f>IF(J100="","",H100+I100)</f>
        <v/>
      </c>
      <c r="P100" s="23">
        <f>IF(J100="","",J100-O100)</f>
        <v/>
      </c>
      <c r="Q100" s="24">
        <f>IF(OR(J100="",J100=0),"",P100/J100)</f>
        <v/>
      </c>
      <c r="R100" s="25">
        <f>IF(OR(A100="",B100=""),"",B100-A100)</f>
        <v/>
      </c>
      <c r="S100" s="26">
        <f>IF(B100="","",YEAR(B100))</f>
        <v/>
      </c>
      <c r="T100" s="27">
        <f>IF(B100="","",IF(OR(F100="Electric",F100="Plug-in",F100="Hibrid"),1,0))</f>
        <v/>
      </c>
    </row>
    <row r="101">
      <c r="A101" s="18" t="n"/>
      <c r="B101" s="18" t="n"/>
      <c r="C101" s="19" t="n"/>
      <c r="D101" s="19" t="n"/>
      <c r="E101" s="20" t="n"/>
      <c r="F101" s="19" t="n"/>
      <c r="G101" s="21" t="n"/>
      <c r="H101" s="22" t="n"/>
      <c r="I101" s="22" t="n"/>
      <c r="J101" s="22" t="n"/>
      <c r="K101" s="19" t="n"/>
      <c r="L101" s="19" t="n"/>
      <c r="M101" s="19" t="n"/>
      <c r="N101" s="19" t="n"/>
      <c r="O101" s="23">
        <f>IF(J101="","",H101+I101)</f>
        <v/>
      </c>
      <c r="P101" s="23">
        <f>IF(J101="","",J101-O101)</f>
        <v/>
      </c>
      <c r="Q101" s="24">
        <f>IF(OR(J101="",J101=0),"",P101/J101)</f>
        <v/>
      </c>
      <c r="R101" s="25">
        <f>IF(OR(A101="",B101=""),"",B101-A101)</f>
        <v/>
      </c>
      <c r="S101" s="26">
        <f>IF(B101="","",YEAR(B101))</f>
        <v/>
      </c>
      <c r="T101" s="27">
        <f>IF(B101="","",IF(OR(F101="Electric",F101="Plug-in",F101="Hibrid"),1,0))</f>
        <v/>
      </c>
    </row>
    <row r="102">
      <c r="A102" s="18" t="n"/>
      <c r="B102" s="18" t="n"/>
      <c r="C102" s="19" t="n"/>
      <c r="D102" s="19" t="n"/>
      <c r="E102" s="20" t="n"/>
      <c r="F102" s="19" t="n"/>
      <c r="G102" s="21" t="n"/>
      <c r="H102" s="22" t="n"/>
      <c r="I102" s="22" t="n"/>
      <c r="J102" s="22" t="n"/>
      <c r="K102" s="19" t="n"/>
      <c r="L102" s="19" t="n"/>
      <c r="M102" s="19" t="n"/>
      <c r="N102" s="19" t="n"/>
      <c r="O102" s="23">
        <f>IF(J102="","",H102+I102)</f>
        <v/>
      </c>
      <c r="P102" s="23">
        <f>IF(J102="","",J102-O102)</f>
        <v/>
      </c>
      <c r="Q102" s="24">
        <f>IF(OR(J102="",J102=0),"",P102/J102)</f>
        <v/>
      </c>
      <c r="R102" s="25">
        <f>IF(OR(A102="",B102=""),"",B102-A102)</f>
        <v/>
      </c>
      <c r="S102" s="26">
        <f>IF(B102="","",YEAR(B102))</f>
        <v/>
      </c>
      <c r="T102" s="27">
        <f>IF(B102="","",IF(OR(F102="Electric",F102="Plug-in",F102="Hibrid"),1,0))</f>
        <v/>
      </c>
    </row>
    <row r="103">
      <c r="A103" s="18" t="n"/>
      <c r="B103" s="18" t="n"/>
      <c r="C103" s="19" t="n"/>
      <c r="D103" s="19" t="n"/>
      <c r="E103" s="20" t="n"/>
      <c r="F103" s="19" t="n"/>
      <c r="G103" s="21" t="n"/>
      <c r="H103" s="22" t="n"/>
      <c r="I103" s="22" t="n"/>
      <c r="J103" s="22" t="n"/>
      <c r="K103" s="19" t="n"/>
      <c r="L103" s="19" t="n"/>
      <c r="M103" s="19" t="n"/>
      <c r="N103" s="19" t="n"/>
      <c r="O103" s="23">
        <f>IF(J103="","",H103+I103)</f>
        <v/>
      </c>
      <c r="P103" s="23">
        <f>IF(J103="","",J103-O103)</f>
        <v/>
      </c>
      <c r="Q103" s="24">
        <f>IF(OR(J103="",J103=0),"",P103/J103)</f>
        <v/>
      </c>
      <c r="R103" s="25">
        <f>IF(OR(A103="",B103=""),"",B103-A103)</f>
        <v/>
      </c>
      <c r="S103" s="26">
        <f>IF(B103="","",YEAR(B103))</f>
        <v/>
      </c>
      <c r="T103" s="27">
        <f>IF(B103="","",IF(OR(F103="Electric",F103="Plug-in",F103="Hibrid"),1,0))</f>
        <v/>
      </c>
    </row>
    <row r="104">
      <c r="A104" s="18" t="n"/>
      <c r="B104" s="18" t="n"/>
      <c r="C104" s="19" t="n"/>
      <c r="D104" s="19" t="n"/>
      <c r="E104" s="20" t="n"/>
      <c r="F104" s="19" t="n"/>
      <c r="G104" s="21" t="n"/>
      <c r="H104" s="22" t="n"/>
      <c r="I104" s="22" t="n"/>
      <c r="J104" s="22" t="n"/>
      <c r="K104" s="19" t="n"/>
      <c r="L104" s="19" t="n"/>
      <c r="M104" s="19" t="n"/>
      <c r="N104" s="19" t="n"/>
      <c r="O104" s="23">
        <f>IF(J104="","",H104+I104)</f>
        <v/>
      </c>
      <c r="P104" s="23">
        <f>IF(J104="","",J104-O104)</f>
        <v/>
      </c>
      <c r="Q104" s="24">
        <f>IF(OR(J104="",J104=0),"",P104/J104)</f>
        <v/>
      </c>
      <c r="R104" s="25">
        <f>IF(OR(A104="",B104=""),"",B104-A104)</f>
        <v/>
      </c>
      <c r="S104" s="26">
        <f>IF(B104="","",YEAR(B104))</f>
        <v/>
      </c>
      <c r="T104" s="27">
        <f>IF(B104="","",IF(OR(F104="Electric",F104="Plug-in",F104="Hibrid"),1,0))</f>
        <v/>
      </c>
    </row>
    <row r="105">
      <c r="A105" s="18" t="n"/>
      <c r="B105" s="18" t="n"/>
      <c r="C105" s="19" t="n"/>
      <c r="D105" s="19" t="n"/>
      <c r="E105" s="20" t="n"/>
      <c r="F105" s="19" t="n"/>
      <c r="G105" s="21" t="n"/>
      <c r="H105" s="22" t="n"/>
      <c r="I105" s="22" t="n"/>
      <c r="J105" s="22" t="n"/>
      <c r="K105" s="19" t="n"/>
      <c r="L105" s="19" t="n"/>
      <c r="M105" s="19" t="n"/>
      <c r="N105" s="19" t="n"/>
      <c r="O105" s="23">
        <f>IF(J105="","",H105+I105)</f>
        <v/>
      </c>
      <c r="P105" s="23">
        <f>IF(J105="","",J105-O105)</f>
        <v/>
      </c>
      <c r="Q105" s="24">
        <f>IF(OR(J105="",J105=0),"",P105/J105)</f>
        <v/>
      </c>
      <c r="R105" s="25">
        <f>IF(OR(A105="",B105=""),"",B105-A105)</f>
        <v/>
      </c>
      <c r="S105" s="26">
        <f>IF(B105="","",YEAR(B105))</f>
        <v/>
      </c>
      <c r="T105" s="27">
        <f>IF(B105="","",IF(OR(F105="Electric",F105="Plug-in",F105="Hibrid"),1,0))</f>
        <v/>
      </c>
    </row>
    <row r="106">
      <c r="A106" s="18" t="n"/>
      <c r="B106" s="18" t="n"/>
      <c r="C106" s="19" t="n"/>
      <c r="D106" s="19" t="n"/>
      <c r="E106" s="20" t="n"/>
      <c r="F106" s="19" t="n"/>
      <c r="G106" s="21" t="n"/>
      <c r="H106" s="22" t="n"/>
      <c r="I106" s="22" t="n"/>
      <c r="J106" s="22" t="n"/>
      <c r="K106" s="19" t="n"/>
      <c r="L106" s="19" t="n"/>
      <c r="M106" s="19" t="n"/>
      <c r="N106" s="19" t="n"/>
      <c r="O106" s="23">
        <f>IF(J106="","",H106+I106)</f>
        <v/>
      </c>
      <c r="P106" s="23">
        <f>IF(J106="","",J106-O106)</f>
        <v/>
      </c>
      <c r="Q106" s="24">
        <f>IF(OR(J106="",J106=0),"",P106/J106)</f>
        <v/>
      </c>
      <c r="R106" s="25">
        <f>IF(OR(A106="",B106=""),"",B106-A106)</f>
        <v/>
      </c>
      <c r="S106" s="26">
        <f>IF(B106="","",YEAR(B106))</f>
        <v/>
      </c>
      <c r="T106" s="27">
        <f>IF(B106="","",IF(OR(F106="Electric",F106="Plug-in",F106="Hibrid"),1,0))</f>
        <v/>
      </c>
    </row>
    <row r="107">
      <c r="A107" s="18" t="n"/>
      <c r="B107" s="18" t="n"/>
      <c r="C107" s="19" t="n"/>
      <c r="D107" s="19" t="n"/>
      <c r="E107" s="20" t="n"/>
      <c r="F107" s="19" t="n"/>
      <c r="G107" s="21" t="n"/>
      <c r="H107" s="22" t="n"/>
      <c r="I107" s="22" t="n"/>
      <c r="J107" s="22" t="n"/>
      <c r="K107" s="19" t="n"/>
      <c r="L107" s="19" t="n"/>
      <c r="M107" s="19" t="n"/>
      <c r="N107" s="19" t="n"/>
      <c r="O107" s="23">
        <f>IF(J107="","",H107+I107)</f>
        <v/>
      </c>
      <c r="P107" s="23">
        <f>IF(J107="","",J107-O107)</f>
        <v/>
      </c>
      <c r="Q107" s="24">
        <f>IF(OR(J107="",J107=0),"",P107/J107)</f>
        <v/>
      </c>
      <c r="R107" s="25">
        <f>IF(OR(A107="",B107=""),"",B107-A107)</f>
        <v/>
      </c>
      <c r="S107" s="26">
        <f>IF(B107="","",YEAR(B107))</f>
        <v/>
      </c>
      <c r="T107" s="27">
        <f>IF(B107="","",IF(OR(F107="Electric",F107="Plug-in",F107="Hibrid"),1,0))</f>
        <v/>
      </c>
    </row>
    <row r="108">
      <c r="A108" s="18" t="n"/>
      <c r="B108" s="18" t="n"/>
      <c r="C108" s="19" t="n"/>
      <c r="D108" s="19" t="n"/>
      <c r="E108" s="20" t="n"/>
      <c r="F108" s="19" t="n"/>
      <c r="G108" s="21" t="n"/>
      <c r="H108" s="22" t="n"/>
      <c r="I108" s="22" t="n"/>
      <c r="J108" s="22" t="n"/>
      <c r="K108" s="19" t="n"/>
      <c r="L108" s="19" t="n"/>
      <c r="M108" s="19" t="n"/>
      <c r="N108" s="19" t="n"/>
      <c r="O108" s="23">
        <f>IF(J108="","",H108+I108)</f>
        <v/>
      </c>
      <c r="P108" s="23">
        <f>IF(J108="","",J108-O108)</f>
        <v/>
      </c>
      <c r="Q108" s="24">
        <f>IF(OR(J108="",J108=0),"",P108/J108)</f>
        <v/>
      </c>
      <c r="R108" s="25">
        <f>IF(OR(A108="",B108=""),"",B108-A108)</f>
        <v/>
      </c>
      <c r="S108" s="26">
        <f>IF(B108="","",YEAR(B108))</f>
        <v/>
      </c>
      <c r="T108" s="27">
        <f>IF(B108="","",IF(OR(F108="Electric",F108="Plug-in",F108="Hibrid"),1,0))</f>
        <v/>
      </c>
    </row>
    <row r="109">
      <c r="A109" s="18" t="n"/>
      <c r="B109" s="18" t="n"/>
      <c r="C109" s="19" t="n"/>
      <c r="D109" s="19" t="n"/>
      <c r="E109" s="20" t="n"/>
      <c r="F109" s="19" t="n"/>
      <c r="G109" s="21" t="n"/>
      <c r="H109" s="22" t="n"/>
      <c r="I109" s="22" t="n"/>
      <c r="J109" s="22" t="n"/>
      <c r="K109" s="19" t="n"/>
      <c r="L109" s="19" t="n"/>
      <c r="M109" s="19" t="n"/>
      <c r="N109" s="19" t="n"/>
      <c r="O109" s="23">
        <f>IF(J109="","",H109+I109)</f>
        <v/>
      </c>
      <c r="P109" s="23">
        <f>IF(J109="","",J109-O109)</f>
        <v/>
      </c>
      <c r="Q109" s="24">
        <f>IF(OR(J109="",J109=0),"",P109/J109)</f>
        <v/>
      </c>
      <c r="R109" s="25">
        <f>IF(OR(A109="",B109=""),"",B109-A109)</f>
        <v/>
      </c>
      <c r="S109" s="26">
        <f>IF(B109="","",YEAR(B109))</f>
        <v/>
      </c>
      <c r="T109" s="27">
        <f>IF(B109="","",IF(OR(F109="Electric",F109="Plug-in",F109="Hibrid"),1,0))</f>
        <v/>
      </c>
    </row>
    <row r="110">
      <c r="A110" s="18" t="n"/>
      <c r="B110" s="18" t="n"/>
      <c r="C110" s="19" t="n"/>
      <c r="D110" s="19" t="n"/>
      <c r="E110" s="20" t="n"/>
      <c r="F110" s="19" t="n"/>
      <c r="G110" s="21" t="n"/>
      <c r="H110" s="22" t="n"/>
      <c r="I110" s="22" t="n"/>
      <c r="J110" s="22" t="n"/>
      <c r="K110" s="19" t="n"/>
      <c r="L110" s="19" t="n"/>
      <c r="M110" s="19" t="n"/>
      <c r="N110" s="19" t="n"/>
      <c r="O110" s="23">
        <f>IF(J110="","",H110+I110)</f>
        <v/>
      </c>
      <c r="P110" s="23">
        <f>IF(J110="","",J110-O110)</f>
        <v/>
      </c>
      <c r="Q110" s="24">
        <f>IF(OR(J110="",J110=0),"",P110/J110)</f>
        <v/>
      </c>
      <c r="R110" s="25">
        <f>IF(OR(A110="",B110=""),"",B110-A110)</f>
        <v/>
      </c>
      <c r="S110" s="26">
        <f>IF(B110="","",YEAR(B110))</f>
        <v/>
      </c>
      <c r="T110" s="27">
        <f>IF(B110="","",IF(OR(F110="Electric",F110="Plug-in",F110="Hibrid"),1,0))</f>
        <v/>
      </c>
    </row>
    <row r="111">
      <c r="A111" s="18" t="n"/>
      <c r="B111" s="18" t="n"/>
      <c r="C111" s="19" t="n"/>
      <c r="D111" s="19" t="n"/>
      <c r="E111" s="20" t="n"/>
      <c r="F111" s="19" t="n"/>
      <c r="G111" s="21" t="n"/>
      <c r="H111" s="22" t="n"/>
      <c r="I111" s="22" t="n"/>
      <c r="J111" s="22" t="n"/>
      <c r="K111" s="19" t="n"/>
      <c r="L111" s="19" t="n"/>
      <c r="M111" s="19" t="n"/>
      <c r="N111" s="19" t="n"/>
      <c r="O111" s="23">
        <f>IF(J111="","",H111+I111)</f>
        <v/>
      </c>
      <c r="P111" s="23">
        <f>IF(J111="","",J111-O111)</f>
        <v/>
      </c>
      <c r="Q111" s="24">
        <f>IF(OR(J111="",J111=0),"",P111/J111)</f>
        <v/>
      </c>
      <c r="R111" s="25">
        <f>IF(OR(A111="",B111=""),"",B111-A111)</f>
        <v/>
      </c>
      <c r="S111" s="26">
        <f>IF(B111="","",YEAR(B111))</f>
        <v/>
      </c>
      <c r="T111" s="27">
        <f>IF(B111="","",IF(OR(F111="Electric",F111="Plug-in",F111="Hibrid"),1,0))</f>
        <v/>
      </c>
    </row>
    <row r="112">
      <c r="A112" s="18" t="n"/>
      <c r="B112" s="18" t="n"/>
      <c r="C112" s="19" t="n"/>
      <c r="D112" s="19" t="n"/>
      <c r="E112" s="20" t="n"/>
      <c r="F112" s="19" t="n"/>
      <c r="G112" s="21" t="n"/>
      <c r="H112" s="22" t="n"/>
      <c r="I112" s="22" t="n"/>
      <c r="J112" s="22" t="n"/>
      <c r="K112" s="19" t="n"/>
      <c r="L112" s="19" t="n"/>
      <c r="M112" s="19" t="n"/>
      <c r="N112" s="19" t="n"/>
      <c r="O112" s="23">
        <f>IF(J112="","",H112+I112)</f>
        <v/>
      </c>
      <c r="P112" s="23">
        <f>IF(J112="","",J112-O112)</f>
        <v/>
      </c>
      <c r="Q112" s="24">
        <f>IF(OR(J112="",J112=0),"",P112/J112)</f>
        <v/>
      </c>
      <c r="R112" s="25">
        <f>IF(OR(A112="",B112=""),"",B112-A112)</f>
        <v/>
      </c>
      <c r="S112" s="26">
        <f>IF(B112="","",YEAR(B112))</f>
        <v/>
      </c>
      <c r="T112" s="27">
        <f>IF(B112="","",IF(OR(F112="Electric",F112="Plug-in",F112="Hibrid"),1,0))</f>
        <v/>
      </c>
    </row>
    <row r="113">
      <c r="A113" s="18" t="n"/>
      <c r="B113" s="18" t="n"/>
      <c r="C113" s="19" t="n"/>
      <c r="D113" s="19" t="n"/>
      <c r="E113" s="20" t="n"/>
      <c r="F113" s="19" t="n"/>
      <c r="G113" s="21" t="n"/>
      <c r="H113" s="22" t="n"/>
      <c r="I113" s="22" t="n"/>
      <c r="J113" s="22" t="n"/>
      <c r="K113" s="19" t="n"/>
      <c r="L113" s="19" t="n"/>
      <c r="M113" s="19" t="n"/>
      <c r="N113" s="19" t="n"/>
      <c r="O113" s="23">
        <f>IF(J113="","",H113+I113)</f>
        <v/>
      </c>
      <c r="P113" s="23">
        <f>IF(J113="","",J113-O113)</f>
        <v/>
      </c>
      <c r="Q113" s="24">
        <f>IF(OR(J113="",J113=0),"",P113/J113)</f>
        <v/>
      </c>
      <c r="R113" s="25">
        <f>IF(OR(A113="",B113=""),"",B113-A113)</f>
        <v/>
      </c>
      <c r="S113" s="26">
        <f>IF(B113="","",YEAR(B113))</f>
        <v/>
      </c>
      <c r="T113" s="27">
        <f>IF(B113="","",IF(OR(F113="Electric",F113="Plug-in",F113="Hibrid"),1,0))</f>
        <v/>
      </c>
    </row>
    <row r="114">
      <c r="A114" s="18" t="n"/>
      <c r="B114" s="18" t="n"/>
      <c r="C114" s="19" t="n"/>
      <c r="D114" s="19" t="n"/>
      <c r="E114" s="20" t="n"/>
      <c r="F114" s="19" t="n"/>
      <c r="G114" s="21" t="n"/>
      <c r="H114" s="22" t="n"/>
      <c r="I114" s="22" t="n"/>
      <c r="J114" s="22" t="n"/>
      <c r="K114" s="19" t="n"/>
      <c r="L114" s="19" t="n"/>
      <c r="M114" s="19" t="n"/>
      <c r="N114" s="19" t="n"/>
      <c r="O114" s="23">
        <f>IF(J114="","",H114+I114)</f>
        <v/>
      </c>
      <c r="P114" s="23">
        <f>IF(J114="","",J114-O114)</f>
        <v/>
      </c>
      <c r="Q114" s="24">
        <f>IF(OR(J114="",J114=0),"",P114/J114)</f>
        <v/>
      </c>
      <c r="R114" s="25">
        <f>IF(OR(A114="",B114=""),"",B114-A114)</f>
        <v/>
      </c>
      <c r="S114" s="26">
        <f>IF(B114="","",YEAR(B114))</f>
        <v/>
      </c>
      <c r="T114" s="27">
        <f>IF(B114="","",IF(OR(F114="Electric",F114="Plug-in",F114="Hibrid"),1,0))</f>
        <v/>
      </c>
    </row>
    <row r="115">
      <c r="A115" s="18" t="n"/>
      <c r="B115" s="18" t="n"/>
      <c r="C115" s="19" t="n"/>
      <c r="D115" s="19" t="n"/>
      <c r="E115" s="20" t="n"/>
      <c r="F115" s="19" t="n"/>
      <c r="G115" s="21" t="n"/>
      <c r="H115" s="22" t="n"/>
      <c r="I115" s="22" t="n"/>
      <c r="J115" s="22" t="n"/>
      <c r="K115" s="19" t="n"/>
      <c r="L115" s="19" t="n"/>
      <c r="M115" s="19" t="n"/>
      <c r="N115" s="19" t="n"/>
      <c r="O115" s="23">
        <f>IF(J115="","",H115+I115)</f>
        <v/>
      </c>
      <c r="P115" s="23">
        <f>IF(J115="","",J115-O115)</f>
        <v/>
      </c>
      <c r="Q115" s="24">
        <f>IF(OR(J115="",J115=0),"",P115/J115)</f>
        <v/>
      </c>
      <c r="R115" s="25">
        <f>IF(OR(A115="",B115=""),"",B115-A115)</f>
        <v/>
      </c>
      <c r="S115" s="26">
        <f>IF(B115="","",YEAR(B115))</f>
        <v/>
      </c>
      <c r="T115" s="27">
        <f>IF(B115="","",IF(OR(F115="Electric",F115="Plug-in",F115="Hibrid"),1,0))</f>
        <v/>
      </c>
    </row>
    <row r="116">
      <c r="A116" s="18" t="n"/>
      <c r="B116" s="18" t="n"/>
      <c r="C116" s="19" t="n"/>
      <c r="D116" s="19" t="n"/>
      <c r="E116" s="20" t="n"/>
      <c r="F116" s="19" t="n"/>
      <c r="G116" s="21" t="n"/>
      <c r="H116" s="22" t="n"/>
      <c r="I116" s="22" t="n"/>
      <c r="J116" s="22" t="n"/>
      <c r="K116" s="19" t="n"/>
      <c r="L116" s="19" t="n"/>
      <c r="M116" s="19" t="n"/>
      <c r="N116" s="19" t="n"/>
      <c r="O116" s="23">
        <f>IF(J116="","",H116+I116)</f>
        <v/>
      </c>
      <c r="P116" s="23">
        <f>IF(J116="","",J116-O116)</f>
        <v/>
      </c>
      <c r="Q116" s="24">
        <f>IF(OR(J116="",J116=0),"",P116/J116)</f>
        <v/>
      </c>
      <c r="R116" s="25">
        <f>IF(OR(A116="",B116=""),"",B116-A116)</f>
        <v/>
      </c>
      <c r="S116" s="26">
        <f>IF(B116="","",YEAR(B116))</f>
        <v/>
      </c>
      <c r="T116" s="27">
        <f>IF(B116="","",IF(OR(F116="Electric",F116="Plug-in",F116="Hibrid"),1,0))</f>
        <v/>
      </c>
    </row>
    <row r="117">
      <c r="A117" s="18" t="n"/>
      <c r="B117" s="18" t="n"/>
      <c r="C117" s="19" t="n"/>
      <c r="D117" s="19" t="n"/>
      <c r="E117" s="20" t="n"/>
      <c r="F117" s="19" t="n"/>
      <c r="G117" s="21" t="n"/>
      <c r="H117" s="22" t="n"/>
      <c r="I117" s="22" t="n"/>
      <c r="J117" s="22" t="n"/>
      <c r="K117" s="19" t="n"/>
      <c r="L117" s="19" t="n"/>
      <c r="M117" s="19" t="n"/>
      <c r="N117" s="19" t="n"/>
      <c r="O117" s="23">
        <f>IF(J117="","",H117+I117)</f>
        <v/>
      </c>
      <c r="P117" s="23">
        <f>IF(J117="","",J117-O117)</f>
        <v/>
      </c>
      <c r="Q117" s="24">
        <f>IF(OR(J117="",J117=0),"",P117/J117)</f>
        <v/>
      </c>
      <c r="R117" s="25">
        <f>IF(OR(A117="",B117=""),"",B117-A117)</f>
        <v/>
      </c>
      <c r="S117" s="26">
        <f>IF(B117="","",YEAR(B117))</f>
        <v/>
      </c>
      <c r="T117" s="27">
        <f>IF(B117="","",IF(OR(F117="Electric",F117="Plug-in",F117="Hibrid"),1,0))</f>
        <v/>
      </c>
    </row>
    <row r="118">
      <c r="A118" s="18" t="n"/>
      <c r="B118" s="18" t="n"/>
      <c r="C118" s="19" t="n"/>
      <c r="D118" s="19" t="n"/>
      <c r="E118" s="20" t="n"/>
      <c r="F118" s="19" t="n"/>
      <c r="G118" s="21" t="n"/>
      <c r="H118" s="22" t="n"/>
      <c r="I118" s="22" t="n"/>
      <c r="J118" s="22" t="n"/>
      <c r="K118" s="19" t="n"/>
      <c r="L118" s="19" t="n"/>
      <c r="M118" s="19" t="n"/>
      <c r="N118" s="19" t="n"/>
      <c r="O118" s="23">
        <f>IF(J118="","",H118+I118)</f>
        <v/>
      </c>
      <c r="P118" s="23">
        <f>IF(J118="","",J118-O118)</f>
        <v/>
      </c>
      <c r="Q118" s="24">
        <f>IF(OR(J118="",J118=0),"",P118/J118)</f>
        <v/>
      </c>
      <c r="R118" s="25">
        <f>IF(OR(A118="",B118=""),"",B118-A118)</f>
        <v/>
      </c>
      <c r="S118" s="26">
        <f>IF(B118="","",YEAR(B118))</f>
        <v/>
      </c>
      <c r="T118" s="27">
        <f>IF(B118="","",IF(OR(F118="Electric",F118="Plug-in",F118="Hibrid"),1,0))</f>
        <v/>
      </c>
    </row>
    <row r="119">
      <c r="A119" s="18" t="n"/>
      <c r="B119" s="18" t="n"/>
      <c r="C119" s="19" t="n"/>
      <c r="D119" s="19" t="n"/>
      <c r="E119" s="20" t="n"/>
      <c r="F119" s="19" t="n"/>
      <c r="G119" s="21" t="n"/>
      <c r="H119" s="22" t="n"/>
      <c r="I119" s="22" t="n"/>
      <c r="J119" s="22" t="n"/>
      <c r="K119" s="19" t="n"/>
      <c r="L119" s="19" t="n"/>
      <c r="M119" s="19" t="n"/>
      <c r="N119" s="19" t="n"/>
      <c r="O119" s="23">
        <f>IF(J119="","",H119+I119)</f>
        <v/>
      </c>
      <c r="P119" s="23">
        <f>IF(J119="","",J119-O119)</f>
        <v/>
      </c>
      <c r="Q119" s="24">
        <f>IF(OR(J119="",J119=0),"",P119/J119)</f>
        <v/>
      </c>
      <c r="R119" s="25">
        <f>IF(OR(A119="",B119=""),"",B119-A119)</f>
        <v/>
      </c>
      <c r="S119" s="26">
        <f>IF(B119="","",YEAR(B119))</f>
        <v/>
      </c>
      <c r="T119" s="27">
        <f>IF(B119="","",IF(OR(F119="Electric",F119="Plug-in",F119="Hibrid"),1,0))</f>
        <v/>
      </c>
    </row>
    <row r="120">
      <c r="A120" s="18" t="n"/>
      <c r="B120" s="18" t="n"/>
      <c r="C120" s="19" t="n"/>
      <c r="D120" s="19" t="n"/>
      <c r="E120" s="20" t="n"/>
      <c r="F120" s="19" t="n"/>
      <c r="G120" s="21" t="n"/>
      <c r="H120" s="22" t="n"/>
      <c r="I120" s="22" t="n"/>
      <c r="J120" s="22" t="n"/>
      <c r="K120" s="19" t="n"/>
      <c r="L120" s="19" t="n"/>
      <c r="M120" s="19" t="n"/>
      <c r="N120" s="19" t="n"/>
      <c r="O120" s="23">
        <f>IF(J120="","",H120+I120)</f>
        <v/>
      </c>
      <c r="P120" s="23">
        <f>IF(J120="","",J120-O120)</f>
        <v/>
      </c>
      <c r="Q120" s="24">
        <f>IF(OR(J120="",J120=0),"",P120/J120)</f>
        <v/>
      </c>
      <c r="R120" s="25">
        <f>IF(OR(A120="",B120=""),"",B120-A120)</f>
        <v/>
      </c>
      <c r="S120" s="26">
        <f>IF(B120="","",YEAR(B120))</f>
        <v/>
      </c>
      <c r="T120" s="27">
        <f>IF(B120="","",IF(OR(F120="Electric",F120="Plug-in",F120="Hibrid"),1,0))</f>
        <v/>
      </c>
    </row>
    <row r="121">
      <c r="A121" s="18" t="n"/>
      <c r="B121" s="18" t="n"/>
      <c r="C121" s="19" t="n"/>
      <c r="D121" s="19" t="n"/>
      <c r="E121" s="20" t="n"/>
      <c r="F121" s="19" t="n"/>
      <c r="G121" s="21" t="n"/>
      <c r="H121" s="22" t="n"/>
      <c r="I121" s="22" t="n"/>
      <c r="J121" s="22" t="n"/>
      <c r="K121" s="19" t="n"/>
      <c r="L121" s="19" t="n"/>
      <c r="M121" s="19" t="n"/>
      <c r="N121" s="19" t="n"/>
      <c r="O121" s="23">
        <f>IF(J121="","",H121+I121)</f>
        <v/>
      </c>
      <c r="P121" s="23">
        <f>IF(J121="","",J121-O121)</f>
        <v/>
      </c>
      <c r="Q121" s="24">
        <f>IF(OR(J121="",J121=0),"",P121/J121)</f>
        <v/>
      </c>
      <c r="R121" s="25">
        <f>IF(OR(A121="",B121=""),"",B121-A121)</f>
        <v/>
      </c>
      <c r="S121" s="26">
        <f>IF(B121="","",YEAR(B121))</f>
        <v/>
      </c>
      <c r="T121" s="27">
        <f>IF(B121="","",IF(OR(F121="Electric",F121="Plug-in",F121="Hibrid"),1,0))</f>
        <v/>
      </c>
    </row>
    <row r="122">
      <c r="A122" s="18" t="n"/>
      <c r="B122" s="18" t="n"/>
      <c r="C122" s="19" t="n"/>
      <c r="D122" s="19" t="n"/>
      <c r="E122" s="20" t="n"/>
      <c r="F122" s="19" t="n"/>
      <c r="G122" s="21" t="n"/>
      <c r="H122" s="22" t="n"/>
      <c r="I122" s="22" t="n"/>
      <c r="J122" s="22" t="n"/>
      <c r="K122" s="19" t="n"/>
      <c r="L122" s="19" t="n"/>
      <c r="M122" s="19" t="n"/>
      <c r="N122" s="19" t="n"/>
      <c r="O122" s="23">
        <f>IF(J122="","",H122+I122)</f>
        <v/>
      </c>
      <c r="P122" s="23">
        <f>IF(J122="","",J122-O122)</f>
        <v/>
      </c>
      <c r="Q122" s="24">
        <f>IF(OR(J122="",J122=0),"",P122/J122)</f>
        <v/>
      </c>
      <c r="R122" s="25">
        <f>IF(OR(A122="",B122=""),"",B122-A122)</f>
        <v/>
      </c>
      <c r="S122" s="26">
        <f>IF(B122="","",YEAR(B122))</f>
        <v/>
      </c>
      <c r="T122" s="27">
        <f>IF(B122="","",IF(OR(F122="Electric",F122="Plug-in",F122="Hibrid"),1,0))</f>
        <v/>
      </c>
    </row>
    <row r="123">
      <c r="A123" s="18" t="n"/>
      <c r="B123" s="18" t="n"/>
      <c r="C123" s="19" t="n"/>
      <c r="D123" s="19" t="n"/>
      <c r="E123" s="20" t="n"/>
      <c r="F123" s="19" t="n"/>
      <c r="G123" s="21" t="n"/>
      <c r="H123" s="22" t="n"/>
      <c r="I123" s="22" t="n"/>
      <c r="J123" s="22" t="n"/>
      <c r="K123" s="19" t="n"/>
      <c r="L123" s="19" t="n"/>
      <c r="M123" s="19" t="n"/>
      <c r="N123" s="19" t="n"/>
      <c r="O123" s="23">
        <f>IF(J123="","",H123+I123)</f>
        <v/>
      </c>
      <c r="P123" s="23">
        <f>IF(J123="","",J123-O123)</f>
        <v/>
      </c>
      <c r="Q123" s="24">
        <f>IF(OR(J123="",J123=0),"",P123/J123)</f>
        <v/>
      </c>
      <c r="R123" s="25">
        <f>IF(OR(A123="",B123=""),"",B123-A123)</f>
        <v/>
      </c>
      <c r="S123" s="26">
        <f>IF(B123="","",YEAR(B123))</f>
        <v/>
      </c>
      <c r="T123" s="27">
        <f>IF(B123="","",IF(OR(F123="Electric",F123="Plug-in",F123="Hibrid"),1,0))</f>
        <v/>
      </c>
    </row>
    <row r="124">
      <c r="A124" s="18" t="n"/>
      <c r="B124" s="18" t="n"/>
      <c r="C124" s="19" t="n"/>
      <c r="D124" s="19" t="n"/>
      <c r="E124" s="20" t="n"/>
      <c r="F124" s="19" t="n"/>
      <c r="G124" s="21" t="n"/>
      <c r="H124" s="22" t="n"/>
      <c r="I124" s="22" t="n"/>
      <c r="J124" s="22" t="n"/>
      <c r="K124" s="19" t="n"/>
      <c r="L124" s="19" t="n"/>
      <c r="M124" s="19" t="n"/>
      <c r="N124" s="19" t="n"/>
      <c r="O124" s="23">
        <f>IF(J124="","",H124+I124)</f>
        <v/>
      </c>
      <c r="P124" s="23">
        <f>IF(J124="","",J124-O124)</f>
        <v/>
      </c>
      <c r="Q124" s="24">
        <f>IF(OR(J124="",J124=0),"",P124/J124)</f>
        <v/>
      </c>
      <c r="R124" s="25">
        <f>IF(OR(A124="",B124=""),"",B124-A124)</f>
        <v/>
      </c>
      <c r="S124" s="26">
        <f>IF(B124="","",YEAR(B124))</f>
        <v/>
      </c>
      <c r="T124" s="27">
        <f>IF(B124="","",IF(OR(F124="Electric",F124="Plug-in",F124="Hibrid"),1,0))</f>
        <v/>
      </c>
    </row>
    <row r="125">
      <c r="A125" s="18" t="n"/>
      <c r="B125" s="18" t="n"/>
      <c r="C125" s="19" t="n"/>
      <c r="D125" s="19" t="n"/>
      <c r="E125" s="20" t="n"/>
      <c r="F125" s="19" t="n"/>
      <c r="G125" s="21" t="n"/>
      <c r="H125" s="22" t="n"/>
      <c r="I125" s="22" t="n"/>
      <c r="J125" s="22" t="n"/>
      <c r="K125" s="19" t="n"/>
      <c r="L125" s="19" t="n"/>
      <c r="M125" s="19" t="n"/>
      <c r="N125" s="19" t="n"/>
      <c r="O125" s="23">
        <f>IF(J125="","",H125+I125)</f>
        <v/>
      </c>
      <c r="P125" s="23">
        <f>IF(J125="","",J125-O125)</f>
        <v/>
      </c>
      <c r="Q125" s="24">
        <f>IF(OR(J125="",J125=0),"",P125/J125)</f>
        <v/>
      </c>
      <c r="R125" s="25">
        <f>IF(OR(A125="",B125=""),"",B125-A125)</f>
        <v/>
      </c>
      <c r="S125" s="26">
        <f>IF(B125="","",YEAR(B125))</f>
        <v/>
      </c>
      <c r="T125" s="27">
        <f>IF(B125="","",IF(OR(F125="Electric",F125="Plug-in",F125="Hibrid"),1,0))</f>
        <v/>
      </c>
    </row>
    <row r="126">
      <c r="A126" s="18" t="n"/>
      <c r="B126" s="18" t="n"/>
      <c r="C126" s="19" t="n"/>
      <c r="D126" s="19" t="n"/>
      <c r="E126" s="20" t="n"/>
      <c r="F126" s="19" t="n"/>
      <c r="G126" s="21" t="n"/>
      <c r="H126" s="22" t="n"/>
      <c r="I126" s="22" t="n"/>
      <c r="J126" s="22" t="n"/>
      <c r="K126" s="19" t="n"/>
      <c r="L126" s="19" t="n"/>
      <c r="M126" s="19" t="n"/>
      <c r="N126" s="19" t="n"/>
      <c r="O126" s="23">
        <f>IF(J126="","",H126+I126)</f>
        <v/>
      </c>
      <c r="P126" s="23">
        <f>IF(J126="","",J126-O126)</f>
        <v/>
      </c>
      <c r="Q126" s="24">
        <f>IF(OR(J126="",J126=0),"",P126/J126)</f>
        <v/>
      </c>
      <c r="R126" s="25">
        <f>IF(OR(A126="",B126=""),"",B126-A126)</f>
        <v/>
      </c>
      <c r="S126" s="26">
        <f>IF(B126="","",YEAR(B126))</f>
        <v/>
      </c>
      <c r="T126" s="27">
        <f>IF(B126="","",IF(OR(F126="Electric",F126="Plug-in",F126="Hibrid"),1,0))</f>
        <v/>
      </c>
    </row>
    <row r="127">
      <c r="A127" s="18" t="n"/>
      <c r="B127" s="18" t="n"/>
      <c r="C127" s="19" t="n"/>
      <c r="D127" s="19" t="n"/>
      <c r="E127" s="20" t="n"/>
      <c r="F127" s="19" t="n"/>
      <c r="G127" s="21" t="n"/>
      <c r="H127" s="22" t="n"/>
      <c r="I127" s="22" t="n"/>
      <c r="J127" s="22" t="n"/>
      <c r="K127" s="19" t="n"/>
      <c r="L127" s="19" t="n"/>
      <c r="M127" s="19" t="n"/>
      <c r="N127" s="19" t="n"/>
      <c r="O127" s="23">
        <f>IF(J127="","",H127+I127)</f>
        <v/>
      </c>
      <c r="P127" s="23">
        <f>IF(J127="","",J127-O127)</f>
        <v/>
      </c>
      <c r="Q127" s="24">
        <f>IF(OR(J127="",J127=0),"",P127/J127)</f>
        <v/>
      </c>
      <c r="R127" s="25">
        <f>IF(OR(A127="",B127=""),"",B127-A127)</f>
        <v/>
      </c>
      <c r="S127" s="26">
        <f>IF(B127="","",YEAR(B127))</f>
        <v/>
      </c>
      <c r="T127" s="27">
        <f>IF(B127="","",IF(OR(F127="Electric",F127="Plug-in",F127="Hibrid"),1,0))</f>
        <v/>
      </c>
    </row>
    <row r="128">
      <c r="A128" s="18" t="n"/>
      <c r="B128" s="18" t="n"/>
      <c r="C128" s="19" t="n"/>
      <c r="D128" s="19" t="n"/>
      <c r="E128" s="20" t="n"/>
      <c r="F128" s="19" t="n"/>
      <c r="G128" s="21" t="n"/>
      <c r="H128" s="22" t="n"/>
      <c r="I128" s="22" t="n"/>
      <c r="J128" s="22" t="n"/>
      <c r="K128" s="19" t="n"/>
      <c r="L128" s="19" t="n"/>
      <c r="M128" s="19" t="n"/>
      <c r="N128" s="19" t="n"/>
      <c r="O128" s="23">
        <f>IF(J128="","",H128+I128)</f>
        <v/>
      </c>
      <c r="P128" s="23">
        <f>IF(J128="","",J128-O128)</f>
        <v/>
      </c>
      <c r="Q128" s="24">
        <f>IF(OR(J128="",J128=0),"",P128/J128)</f>
        <v/>
      </c>
      <c r="R128" s="25">
        <f>IF(OR(A128="",B128=""),"",B128-A128)</f>
        <v/>
      </c>
      <c r="S128" s="26">
        <f>IF(B128="","",YEAR(B128))</f>
        <v/>
      </c>
      <c r="T128" s="27">
        <f>IF(B128="","",IF(OR(F128="Electric",F128="Plug-in",F128="Hibrid"),1,0))</f>
        <v/>
      </c>
    </row>
    <row r="129">
      <c r="A129" s="18" t="n"/>
      <c r="B129" s="18" t="n"/>
      <c r="C129" s="19" t="n"/>
      <c r="D129" s="19" t="n"/>
      <c r="E129" s="20" t="n"/>
      <c r="F129" s="19" t="n"/>
      <c r="G129" s="21" t="n"/>
      <c r="H129" s="22" t="n"/>
      <c r="I129" s="22" t="n"/>
      <c r="J129" s="22" t="n"/>
      <c r="K129" s="19" t="n"/>
      <c r="L129" s="19" t="n"/>
      <c r="M129" s="19" t="n"/>
      <c r="N129" s="19" t="n"/>
      <c r="O129" s="23">
        <f>IF(J129="","",H129+I129)</f>
        <v/>
      </c>
      <c r="P129" s="23">
        <f>IF(J129="","",J129-O129)</f>
        <v/>
      </c>
      <c r="Q129" s="24">
        <f>IF(OR(J129="",J129=0),"",P129/J129)</f>
        <v/>
      </c>
      <c r="R129" s="25">
        <f>IF(OR(A129="",B129=""),"",B129-A129)</f>
        <v/>
      </c>
      <c r="S129" s="26">
        <f>IF(B129="","",YEAR(B129))</f>
        <v/>
      </c>
      <c r="T129" s="27">
        <f>IF(B129="","",IF(OR(F129="Electric",F129="Plug-in",F129="Hibrid"),1,0))</f>
        <v/>
      </c>
    </row>
    <row r="130">
      <c r="A130" s="18" t="n"/>
      <c r="B130" s="18" t="n"/>
      <c r="C130" s="19" t="n"/>
      <c r="D130" s="19" t="n"/>
      <c r="E130" s="20" t="n"/>
      <c r="F130" s="19" t="n"/>
      <c r="G130" s="21" t="n"/>
      <c r="H130" s="22" t="n"/>
      <c r="I130" s="22" t="n"/>
      <c r="J130" s="22" t="n"/>
      <c r="K130" s="19" t="n"/>
      <c r="L130" s="19" t="n"/>
      <c r="M130" s="19" t="n"/>
      <c r="N130" s="19" t="n"/>
      <c r="O130" s="23">
        <f>IF(J130="","",H130+I130)</f>
        <v/>
      </c>
      <c r="P130" s="23">
        <f>IF(J130="","",J130-O130)</f>
        <v/>
      </c>
      <c r="Q130" s="24">
        <f>IF(OR(J130="",J130=0),"",P130/J130)</f>
        <v/>
      </c>
      <c r="R130" s="25">
        <f>IF(OR(A130="",B130=""),"",B130-A130)</f>
        <v/>
      </c>
      <c r="S130" s="26">
        <f>IF(B130="","",YEAR(B130))</f>
        <v/>
      </c>
      <c r="T130" s="27">
        <f>IF(B130="","",IF(OR(F130="Electric",F130="Plug-in",F130="Hibrid"),1,0))</f>
        <v/>
      </c>
    </row>
    <row r="131">
      <c r="A131" s="18" t="n"/>
      <c r="B131" s="18" t="n"/>
      <c r="C131" s="19" t="n"/>
      <c r="D131" s="19" t="n"/>
      <c r="E131" s="20" t="n"/>
      <c r="F131" s="19" t="n"/>
      <c r="G131" s="21" t="n"/>
      <c r="H131" s="22" t="n"/>
      <c r="I131" s="22" t="n"/>
      <c r="J131" s="22" t="n"/>
      <c r="K131" s="19" t="n"/>
      <c r="L131" s="19" t="n"/>
      <c r="M131" s="19" t="n"/>
      <c r="N131" s="19" t="n"/>
      <c r="O131" s="23">
        <f>IF(J131="","",H131+I131)</f>
        <v/>
      </c>
      <c r="P131" s="23">
        <f>IF(J131="","",J131-O131)</f>
        <v/>
      </c>
      <c r="Q131" s="24">
        <f>IF(OR(J131="",J131=0),"",P131/J131)</f>
        <v/>
      </c>
      <c r="R131" s="25">
        <f>IF(OR(A131="",B131=""),"",B131-A131)</f>
        <v/>
      </c>
      <c r="S131" s="26">
        <f>IF(B131="","",YEAR(B131))</f>
        <v/>
      </c>
      <c r="T131" s="27">
        <f>IF(B131="","",IF(OR(F131="Electric",F131="Plug-in",F131="Hibrid"),1,0))</f>
        <v/>
      </c>
    </row>
    <row r="132">
      <c r="A132" s="18" t="n"/>
      <c r="B132" s="18" t="n"/>
      <c r="C132" s="19" t="n"/>
      <c r="D132" s="19" t="n"/>
      <c r="E132" s="20" t="n"/>
      <c r="F132" s="19" t="n"/>
      <c r="G132" s="21" t="n"/>
      <c r="H132" s="22" t="n"/>
      <c r="I132" s="22" t="n"/>
      <c r="J132" s="22" t="n"/>
      <c r="K132" s="19" t="n"/>
      <c r="L132" s="19" t="n"/>
      <c r="M132" s="19" t="n"/>
      <c r="N132" s="19" t="n"/>
      <c r="O132" s="23">
        <f>IF(J132="","",H132+I132)</f>
        <v/>
      </c>
      <c r="P132" s="23">
        <f>IF(J132="","",J132-O132)</f>
        <v/>
      </c>
      <c r="Q132" s="24">
        <f>IF(OR(J132="",J132=0),"",P132/J132)</f>
        <v/>
      </c>
      <c r="R132" s="25">
        <f>IF(OR(A132="",B132=""),"",B132-A132)</f>
        <v/>
      </c>
      <c r="S132" s="26">
        <f>IF(B132="","",YEAR(B132))</f>
        <v/>
      </c>
      <c r="T132" s="27">
        <f>IF(B132="","",IF(OR(F132="Electric",F132="Plug-in",F132="Hibrid"),1,0))</f>
        <v/>
      </c>
    </row>
    <row r="133">
      <c r="A133" s="18" t="n"/>
      <c r="B133" s="18" t="n"/>
      <c r="C133" s="19" t="n"/>
      <c r="D133" s="19" t="n"/>
      <c r="E133" s="20" t="n"/>
      <c r="F133" s="19" t="n"/>
      <c r="G133" s="21" t="n"/>
      <c r="H133" s="22" t="n"/>
      <c r="I133" s="22" t="n"/>
      <c r="J133" s="22" t="n"/>
      <c r="K133" s="19" t="n"/>
      <c r="L133" s="19" t="n"/>
      <c r="M133" s="19" t="n"/>
      <c r="N133" s="19" t="n"/>
      <c r="O133" s="23">
        <f>IF(J133="","",H133+I133)</f>
        <v/>
      </c>
      <c r="P133" s="23">
        <f>IF(J133="","",J133-O133)</f>
        <v/>
      </c>
      <c r="Q133" s="24">
        <f>IF(OR(J133="",J133=0),"",P133/J133)</f>
        <v/>
      </c>
      <c r="R133" s="25">
        <f>IF(OR(A133="",B133=""),"",B133-A133)</f>
        <v/>
      </c>
      <c r="S133" s="26">
        <f>IF(B133="","",YEAR(B133))</f>
        <v/>
      </c>
      <c r="T133" s="27">
        <f>IF(B133="","",IF(OR(F133="Electric",F133="Plug-in",F133="Hibrid"),1,0))</f>
        <v/>
      </c>
    </row>
    <row r="134">
      <c r="A134" s="18" t="n"/>
      <c r="B134" s="18" t="n"/>
      <c r="C134" s="19" t="n"/>
      <c r="D134" s="19" t="n"/>
      <c r="E134" s="20" t="n"/>
      <c r="F134" s="19" t="n"/>
      <c r="G134" s="21" t="n"/>
      <c r="H134" s="22" t="n"/>
      <c r="I134" s="22" t="n"/>
      <c r="J134" s="22" t="n"/>
      <c r="K134" s="19" t="n"/>
      <c r="L134" s="19" t="n"/>
      <c r="M134" s="19" t="n"/>
      <c r="N134" s="19" t="n"/>
      <c r="O134" s="23">
        <f>IF(J134="","",H134+I134)</f>
        <v/>
      </c>
      <c r="P134" s="23">
        <f>IF(J134="","",J134-O134)</f>
        <v/>
      </c>
      <c r="Q134" s="24">
        <f>IF(OR(J134="",J134=0),"",P134/J134)</f>
        <v/>
      </c>
      <c r="R134" s="25">
        <f>IF(OR(A134="",B134=""),"",B134-A134)</f>
        <v/>
      </c>
      <c r="S134" s="26">
        <f>IF(B134="","",YEAR(B134))</f>
        <v/>
      </c>
      <c r="T134" s="27">
        <f>IF(B134="","",IF(OR(F134="Electric",F134="Plug-in",F134="Hibrid"),1,0))</f>
        <v/>
      </c>
    </row>
    <row r="135">
      <c r="A135" s="18" t="n"/>
      <c r="B135" s="18" t="n"/>
      <c r="C135" s="19" t="n"/>
      <c r="D135" s="19" t="n"/>
      <c r="E135" s="20" t="n"/>
      <c r="F135" s="19" t="n"/>
      <c r="G135" s="21" t="n"/>
      <c r="H135" s="22" t="n"/>
      <c r="I135" s="22" t="n"/>
      <c r="J135" s="22" t="n"/>
      <c r="K135" s="19" t="n"/>
      <c r="L135" s="19" t="n"/>
      <c r="M135" s="19" t="n"/>
      <c r="N135" s="19" t="n"/>
      <c r="O135" s="23">
        <f>IF(J135="","",H135+I135)</f>
        <v/>
      </c>
      <c r="P135" s="23">
        <f>IF(J135="","",J135-O135)</f>
        <v/>
      </c>
      <c r="Q135" s="24">
        <f>IF(OR(J135="",J135=0),"",P135/J135)</f>
        <v/>
      </c>
      <c r="R135" s="25">
        <f>IF(OR(A135="",B135=""),"",B135-A135)</f>
        <v/>
      </c>
      <c r="S135" s="26">
        <f>IF(B135="","",YEAR(B135))</f>
        <v/>
      </c>
      <c r="T135" s="27">
        <f>IF(B135="","",IF(OR(F135="Electric",F135="Plug-in",F135="Hibrid"),1,0))</f>
        <v/>
      </c>
    </row>
    <row r="136">
      <c r="A136" s="18" t="n"/>
      <c r="B136" s="18" t="n"/>
      <c r="C136" s="19" t="n"/>
      <c r="D136" s="19" t="n"/>
      <c r="E136" s="20" t="n"/>
      <c r="F136" s="19" t="n"/>
      <c r="G136" s="21" t="n"/>
      <c r="H136" s="22" t="n"/>
      <c r="I136" s="22" t="n"/>
      <c r="J136" s="22" t="n"/>
      <c r="K136" s="19" t="n"/>
      <c r="L136" s="19" t="n"/>
      <c r="M136" s="19" t="n"/>
      <c r="N136" s="19" t="n"/>
      <c r="O136" s="23">
        <f>IF(J136="","",H136+I136)</f>
        <v/>
      </c>
      <c r="P136" s="23">
        <f>IF(J136="","",J136-O136)</f>
        <v/>
      </c>
      <c r="Q136" s="24">
        <f>IF(OR(J136="",J136=0),"",P136/J136)</f>
        <v/>
      </c>
      <c r="R136" s="25">
        <f>IF(OR(A136="",B136=""),"",B136-A136)</f>
        <v/>
      </c>
      <c r="S136" s="26">
        <f>IF(B136="","",YEAR(B136))</f>
        <v/>
      </c>
      <c r="T136" s="27">
        <f>IF(B136="","",IF(OR(F136="Electric",F136="Plug-in",F136="Hibrid"),1,0))</f>
        <v/>
      </c>
    </row>
    <row r="137">
      <c r="A137" s="18" t="n"/>
      <c r="B137" s="18" t="n"/>
      <c r="C137" s="19" t="n"/>
      <c r="D137" s="19" t="n"/>
      <c r="E137" s="20" t="n"/>
      <c r="F137" s="19" t="n"/>
      <c r="G137" s="21" t="n"/>
      <c r="H137" s="22" t="n"/>
      <c r="I137" s="22" t="n"/>
      <c r="J137" s="22" t="n"/>
      <c r="K137" s="19" t="n"/>
      <c r="L137" s="19" t="n"/>
      <c r="M137" s="19" t="n"/>
      <c r="N137" s="19" t="n"/>
      <c r="O137" s="23">
        <f>IF(J137="","",H137+I137)</f>
        <v/>
      </c>
      <c r="P137" s="23">
        <f>IF(J137="","",J137-O137)</f>
        <v/>
      </c>
      <c r="Q137" s="24">
        <f>IF(OR(J137="",J137=0),"",P137/J137)</f>
        <v/>
      </c>
      <c r="R137" s="25">
        <f>IF(OR(A137="",B137=""),"",B137-A137)</f>
        <v/>
      </c>
      <c r="S137" s="26">
        <f>IF(B137="","",YEAR(B137))</f>
        <v/>
      </c>
      <c r="T137" s="27">
        <f>IF(B137="","",IF(OR(F137="Electric",F137="Plug-in",F137="Hibrid"),1,0))</f>
        <v/>
      </c>
    </row>
    <row r="138">
      <c r="A138" s="18" t="n"/>
      <c r="B138" s="18" t="n"/>
      <c r="C138" s="19" t="n"/>
      <c r="D138" s="19" t="n"/>
      <c r="E138" s="20" t="n"/>
      <c r="F138" s="19" t="n"/>
      <c r="G138" s="21" t="n"/>
      <c r="H138" s="22" t="n"/>
      <c r="I138" s="22" t="n"/>
      <c r="J138" s="22" t="n"/>
      <c r="K138" s="19" t="n"/>
      <c r="L138" s="19" t="n"/>
      <c r="M138" s="19" t="n"/>
      <c r="N138" s="19" t="n"/>
      <c r="O138" s="23">
        <f>IF(J138="","",H138+I138)</f>
        <v/>
      </c>
      <c r="P138" s="23">
        <f>IF(J138="","",J138-O138)</f>
        <v/>
      </c>
      <c r="Q138" s="24">
        <f>IF(OR(J138="",J138=0),"",P138/J138)</f>
        <v/>
      </c>
      <c r="R138" s="25">
        <f>IF(OR(A138="",B138=""),"",B138-A138)</f>
        <v/>
      </c>
      <c r="S138" s="26">
        <f>IF(B138="","",YEAR(B138))</f>
        <v/>
      </c>
      <c r="T138" s="27">
        <f>IF(B138="","",IF(OR(F138="Electric",F138="Plug-in",F138="Hibrid"),1,0))</f>
        <v/>
      </c>
    </row>
    <row r="139">
      <c r="A139" s="18" t="n"/>
      <c r="B139" s="18" t="n"/>
      <c r="C139" s="19" t="n"/>
      <c r="D139" s="19" t="n"/>
      <c r="E139" s="20" t="n"/>
      <c r="F139" s="19" t="n"/>
      <c r="G139" s="21" t="n"/>
      <c r="H139" s="22" t="n"/>
      <c r="I139" s="22" t="n"/>
      <c r="J139" s="22" t="n"/>
      <c r="K139" s="19" t="n"/>
      <c r="L139" s="19" t="n"/>
      <c r="M139" s="19" t="n"/>
      <c r="N139" s="19" t="n"/>
      <c r="O139" s="23">
        <f>IF(J139="","",H139+I139)</f>
        <v/>
      </c>
      <c r="P139" s="23">
        <f>IF(J139="","",J139-O139)</f>
        <v/>
      </c>
      <c r="Q139" s="24">
        <f>IF(OR(J139="",J139=0),"",P139/J139)</f>
        <v/>
      </c>
      <c r="R139" s="25">
        <f>IF(OR(A139="",B139=""),"",B139-A139)</f>
        <v/>
      </c>
      <c r="S139" s="26">
        <f>IF(B139="","",YEAR(B139))</f>
        <v/>
      </c>
      <c r="T139" s="27">
        <f>IF(B139="","",IF(OR(F139="Electric",F139="Plug-in",F139="Hibrid"),1,0))</f>
        <v/>
      </c>
    </row>
    <row r="140">
      <c r="A140" s="18" t="n"/>
      <c r="B140" s="18" t="n"/>
      <c r="C140" s="19" t="n"/>
      <c r="D140" s="19" t="n"/>
      <c r="E140" s="20" t="n"/>
      <c r="F140" s="19" t="n"/>
      <c r="G140" s="21" t="n"/>
      <c r="H140" s="22" t="n"/>
      <c r="I140" s="22" t="n"/>
      <c r="J140" s="22" t="n"/>
      <c r="K140" s="19" t="n"/>
      <c r="L140" s="19" t="n"/>
      <c r="M140" s="19" t="n"/>
      <c r="N140" s="19" t="n"/>
      <c r="O140" s="23">
        <f>IF(J140="","",H140+I140)</f>
        <v/>
      </c>
      <c r="P140" s="23">
        <f>IF(J140="","",J140-O140)</f>
        <v/>
      </c>
      <c r="Q140" s="24">
        <f>IF(OR(J140="",J140=0),"",P140/J140)</f>
        <v/>
      </c>
      <c r="R140" s="25">
        <f>IF(OR(A140="",B140=""),"",B140-A140)</f>
        <v/>
      </c>
      <c r="S140" s="26">
        <f>IF(B140="","",YEAR(B140))</f>
        <v/>
      </c>
      <c r="T140" s="27">
        <f>IF(B140="","",IF(OR(F140="Electric",F140="Plug-in",F140="Hibrid"),1,0))</f>
        <v/>
      </c>
    </row>
    <row r="141">
      <c r="A141" s="18" t="n"/>
      <c r="B141" s="18" t="n"/>
      <c r="C141" s="19" t="n"/>
      <c r="D141" s="19" t="n"/>
      <c r="E141" s="20" t="n"/>
      <c r="F141" s="19" t="n"/>
      <c r="G141" s="21" t="n"/>
      <c r="H141" s="22" t="n"/>
      <c r="I141" s="22" t="n"/>
      <c r="J141" s="22" t="n"/>
      <c r="K141" s="19" t="n"/>
      <c r="L141" s="19" t="n"/>
      <c r="M141" s="19" t="n"/>
      <c r="N141" s="19" t="n"/>
      <c r="O141" s="23">
        <f>IF(J141="","",H141+I141)</f>
        <v/>
      </c>
      <c r="P141" s="23">
        <f>IF(J141="","",J141-O141)</f>
        <v/>
      </c>
      <c r="Q141" s="24">
        <f>IF(OR(J141="",J141=0),"",P141/J141)</f>
        <v/>
      </c>
      <c r="R141" s="25">
        <f>IF(OR(A141="",B141=""),"",B141-A141)</f>
        <v/>
      </c>
      <c r="S141" s="26">
        <f>IF(B141="","",YEAR(B141))</f>
        <v/>
      </c>
      <c r="T141" s="27">
        <f>IF(B141="","",IF(OR(F141="Electric",F141="Plug-in",F141="Hibrid"),1,0))</f>
        <v/>
      </c>
    </row>
    <row r="142">
      <c r="A142" s="18" t="n"/>
      <c r="B142" s="18" t="n"/>
      <c r="C142" s="19" t="n"/>
      <c r="D142" s="19" t="n"/>
      <c r="E142" s="20" t="n"/>
      <c r="F142" s="19" t="n"/>
      <c r="G142" s="21" t="n"/>
      <c r="H142" s="22" t="n"/>
      <c r="I142" s="22" t="n"/>
      <c r="J142" s="22" t="n"/>
      <c r="K142" s="19" t="n"/>
      <c r="L142" s="19" t="n"/>
      <c r="M142" s="19" t="n"/>
      <c r="N142" s="19" t="n"/>
      <c r="O142" s="23">
        <f>IF(J142="","",H142+I142)</f>
        <v/>
      </c>
      <c r="P142" s="23">
        <f>IF(J142="","",J142-O142)</f>
        <v/>
      </c>
      <c r="Q142" s="24">
        <f>IF(OR(J142="",J142=0),"",P142/J142)</f>
        <v/>
      </c>
      <c r="R142" s="25">
        <f>IF(OR(A142="",B142=""),"",B142-A142)</f>
        <v/>
      </c>
      <c r="S142" s="26">
        <f>IF(B142="","",YEAR(B142))</f>
        <v/>
      </c>
      <c r="T142" s="27">
        <f>IF(B142="","",IF(OR(F142="Electric",F142="Plug-in",F142="Hibrid"),1,0))</f>
        <v/>
      </c>
    </row>
    <row r="143">
      <c r="A143" s="18" t="n"/>
      <c r="B143" s="18" t="n"/>
      <c r="C143" s="19" t="n"/>
      <c r="D143" s="19" t="n"/>
      <c r="E143" s="20" t="n"/>
      <c r="F143" s="19" t="n"/>
      <c r="G143" s="21" t="n"/>
      <c r="H143" s="22" t="n"/>
      <c r="I143" s="22" t="n"/>
      <c r="J143" s="22" t="n"/>
      <c r="K143" s="19" t="n"/>
      <c r="L143" s="19" t="n"/>
      <c r="M143" s="19" t="n"/>
      <c r="N143" s="19" t="n"/>
      <c r="O143" s="23">
        <f>IF(J143="","",H143+I143)</f>
        <v/>
      </c>
      <c r="P143" s="23">
        <f>IF(J143="","",J143-O143)</f>
        <v/>
      </c>
      <c r="Q143" s="24">
        <f>IF(OR(J143="",J143=0),"",P143/J143)</f>
        <v/>
      </c>
      <c r="R143" s="25">
        <f>IF(OR(A143="",B143=""),"",B143-A143)</f>
        <v/>
      </c>
      <c r="S143" s="26">
        <f>IF(B143="","",YEAR(B143))</f>
        <v/>
      </c>
      <c r="T143" s="27">
        <f>IF(B143="","",IF(OR(F143="Electric",F143="Plug-in",F143="Hibrid"),1,0))</f>
        <v/>
      </c>
    </row>
    <row r="144">
      <c r="A144" s="18" t="n"/>
      <c r="B144" s="18" t="n"/>
      <c r="C144" s="19" t="n"/>
      <c r="D144" s="19" t="n"/>
      <c r="E144" s="20" t="n"/>
      <c r="F144" s="19" t="n"/>
      <c r="G144" s="21" t="n"/>
      <c r="H144" s="22" t="n"/>
      <c r="I144" s="22" t="n"/>
      <c r="J144" s="22" t="n"/>
      <c r="K144" s="19" t="n"/>
      <c r="L144" s="19" t="n"/>
      <c r="M144" s="19" t="n"/>
      <c r="N144" s="19" t="n"/>
      <c r="O144" s="23">
        <f>IF(J144="","",H144+I144)</f>
        <v/>
      </c>
      <c r="P144" s="23">
        <f>IF(J144="","",J144-O144)</f>
        <v/>
      </c>
      <c r="Q144" s="24">
        <f>IF(OR(J144="",J144=0),"",P144/J144)</f>
        <v/>
      </c>
      <c r="R144" s="25">
        <f>IF(OR(A144="",B144=""),"",B144-A144)</f>
        <v/>
      </c>
      <c r="S144" s="26">
        <f>IF(B144="","",YEAR(B144))</f>
        <v/>
      </c>
      <c r="T144" s="27">
        <f>IF(B144="","",IF(OR(F144="Electric",F144="Plug-in",F144="Hibrid"),1,0))</f>
        <v/>
      </c>
    </row>
    <row r="145">
      <c r="A145" s="18" t="n"/>
      <c r="B145" s="18" t="n"/>
      <c r="C145" s="19" t="n"/>
      <c r="D145" s="19" t="n"/>
      <c r="E145" s="20" t="n"/>
      <c r="F145" s="19" t="n"/>
      <c r="G145" s="21" t="n"/>
      <c r="H145" s="22" t="n"/>
      <c r="I145" s="22" t="n"/>
      <c r="J145" s="22" t="n"/>
      <c r="K145" s="19" t="n"/>
      <c r="L145" s="19" t="n"/>
      <c r="M145" s="19" t="n"/>
      <c r="N145" s="19" t="n"/>
      <c r="O145" s="23">
        <f>IF(J145="","",H145+I145)</f>
        <v/>
      </c>
      <c r="P145" s="23">
        <f>IF(J145="","",J145-O145)</f>
        <v/>
      </c>
      <c r="Q145" s="24">
        <f>IF(OR(J145="",J145=0),"",P145/J145)</f>
        <v/>
      </c>
      <c r="R145" s="25">
        <f>IF(OR(A145="",B145=""),"",B145-A145)</f>
        <v/>
      </c>
      <c r="S145" s="26">
        <f>IF(B145="","",YEAR(B145))</f>
        <v/>
      </c>
      <c r="T145" s="27">
        <f>IF(B145="","",IF(OR(F145="Electric",F145="Plug-in",F145="Hibrid"),1,0))</f>
        <v/>
      </c>
    </row>
    <row r="146">
      <c r="A146" s="18" t="n"/>
      <c r="B146" s="18" t="n"/>
      <c r="C146" s="19" t="n"/>
      <c r="D146" s="19" t="n"/>
      <c r="E146" s="20" t="n"/>
      <c r="F146" s="19" t="n"/>
      <c r="G146" s="21" t="n"/>
      <c r="H146" s="22" t="n"/>
      <c r="I146" s="22" t="n"/>
      <c r="J146" s="22" t="n"/>
      <c r="K146" s="19" t="n"/>
      <c r="L146" s="19" t="n"/>
      <c r="M146" s="19" t="n"/>
      <c r="N146" s="19" t="n"/>
      <c r="O146" s="23">
        <f>IF(J146="","",H146+I146)</f>
        <v/>
      </c>
      <c r="P146" s="23">
        <f>IF(J146="","",J146-O146)</f>
        <v/>
      </c>
      <c r="Q146" s="24">
        <f>IF(OR(J146="",J146=0),"",P146/J146)</f>
        <v/>
      </c>
      <c r="R146" s="25">
        <f>IF(OR(A146="",B146=""),"",B146-A146)</f>
        <v/>
      </c>
      <c r="S146" s="26">
        <f>IF(B146="","",YEAR(B146))</f>
        <v/>
      </c>
      <c r="T146" s="27">
        <f>IF(B146="","",IF(OR(F146="Electric",F146="Plug-in",F146="Hibrid"),1,0))</f>
        <v/>
      </c>
    </row>
    <row r="147">
      <c r="A147" s="18" t="n"/>
      <c r="B147" s="18" t="n"/>
      <c r="C147" s="19" t="n"/>
      <c r="D147" s="19" t="n"/>
      <c r="E147" s="20" t="n"/>
      <c r="F147" s="19" t="n"/>
      <c r="G147" s="21" t="n"/>
      <c r="H147" s="22" t="n"/>
      <c r="I147" s="22" t="n"/>
      <c r="J147" s="22" t="n"/>
      <c r="K147" s="19" t="n"/>
      <c r="L147" s="19" t="n"/>
      <c r="M147" s="19" t="n"/>
      <c r="N147" s="19" t="n"/>
      <c r="O147" s="23">
        <f>IF(J147="","",H147+I147)</f>
        <v/>
      </c>
      <c r="P147" s="23">
        <f>IF(J147="","",J147-O147)</f>
        <v/>
      </c>
      <c r="Q147" s="24">
        <f>IF(OR(J147="",J147=0),"",P147/J147)</f>
        <v/>
      </c>
      <c r="R147" s="25">
        <f>IF(OR(A147="",B147=""),"",B147-A147)</f>
        <v/>
      </c>
      <c r="S147" s="26">
        <f>IF(B147="","",YEAR(B147))</f>
        <v/>
      </c>
      <c r="T147" s="27">
        <f>IF(B147="","",IF(OR(F147="Electric",F147="Plug-in",F147="Hibrid"),1,0))</f>
        <v/>
      </c>
    </row>
    <row r="148">
      <c r="A148" s="18" t="n"/>
      <c r="B148" s="18" t="n"/>
      <c r="C148" s="19" t="n"/>
      <c r="D148" s="19" t="n"/>
      <c r="E148" s="20" t="n"/>
      <c r="F148" s="19" t="n"/>
      <c r="G148" s="21" t="n"/>
      <c r="H148" s="22" t="n"/>
      <c r="I148" s="22" t="n"/>
      <c r="J148" s="22" t="n"/>
      <c r="K148" s="19" t="n"/>
      <c r="L148" s="19" t="n"/>
      <c r="M148" s="19" t="n"/>
      <c r="N148" s="19" t="n"/>
      <c r="O148" s="23">
        <f>IF(J148="","",H148+I148)</f>
        <v/>
      </c>
      <c r="P148" s="23">
        <f>IF(J148="","",J148-O148)</f>
        <v/>
      </c>
      <c r="Q148" s="24">
        <f>IF(OR(J148="",J148=0),"",P148/J148)</f>
        <v/>
      </c>
      <c r="R148" s="25">
        <f>IF(OR(A148="",B148=""),"",B148-A148)</f>
        <v/>
      </c>
      <c r="S148" s="26">
        <f>IF(B148="","",YEAR(B148))</f>
        <v/>
      </c>
      <c r="T148" s="27">
        <f>IF(B148="","",IF(OR(F148="Electric",F148="Plug-in",F148="Hibrid"),1,0))</f>
        <v/>
      </c>
    </row>
    <row r="149">
      <c r="A149" s="18" t="n"/>
      <c r="B149" s="18" t="n"/>
      <c r="C149" s="19" t="n"/>
      <c r="D149" s="19" t="n"/>
      <c r="E149" s="20" t="n"/>
      <c r="F149" s="19" t="n"/>
      <c r="G149" s="21" t="n"/>
      <c r="H149" s="22" t="n"/>
      <c r="I149" s="22" t="n"/>
      <c r="J149" s="22" t="n"/>
      <c r="K149" s="19" t="n"/>
      <c r="L149" s="19" t="n"/>
      <c r="M149" s="19" t="n"/>
      <c r="N149" s="19" t="n"/>
      <c r="O149" s="23">
        <f>IF(J149="","",H149+I149)</f>
        <v/>
      </c>
      <c r="P149" s="23">
        <f>IF(J149="","",J149-O149)</f>
        <v/>
      </c>
      <c r="Q149" s="24">
        <f>IF(OR(J149="",J149=0),"",P149/J149)</f>
        <v/>
      </c>
      <c r="R149" s="25">
        <f>IF(OR(A149="",B149=""),"",B149-A149)</f>
        <v/>
      </c>
      <c r="S149" s="26">
        <f>IF(B149="","",YEAR(B149))</f>
        <v/>
      </c>
      <c r="T149" s="27">
        <f>IF(B149="","",IF(OR(F149="Electric",F149="Plug-in",F149="Hibrid"),1,0))</f>
        <v/>
      </c>
    </row>
    <row r="150">
      <c r="A150" s="18" t="n"/>
      <c r="B150" s="18" t="n"/>
      <c r="C150" s="19" t="n"/>
      <c r="D150" s="19" t="n"/>
      <c r="E150" s="20" t="n"/>
      <c r="F150" s="19" t="n"/>
      <c r="G150" s="21" t="n"/>
      <c r="H150" s="22" t="n"/>
      <c r="I150" s="22" t="n"/>
      <c r="J150" s="22" t="n"/>
      <c r="K150" s="19" t="n"/>
      <c r="L150" s="19" t="n"/>
      <c r="M150" s="19" t="n"/>
      <c r="N150" s="19" t="n"/>
      <c r="O150" s="23">
        <f>IF(J150="","",H150+I150)</f>
        <v/>
      </c>
      <c r="P150" s="23">
        <f>IF(J150="","",J150-O150)</f>
        <v/>
      </c>
      <c r="Q150" s="24">
        <f>IF(OR(J150="",J150=0),"",P150/J150)</f>
        <v/>
      </c>
      <c r="R150" s="25">
        <f>IF(OR(A150="",B150=""),"",B150-A150)</f>
        <v/>
      </c>
      <c r="S150" s="26">
        <f>IF(B150="","",YEAR(B150))</f>
        <v/>
      </c>
      <c r="T150" s="27">
        <f>IF(B150="","",IF(OR(F150="Electric",F150="Plug-in",F150="Hibrid"),1,0))</f>
        <v/>
      </c>
    </row>
    <row r="151">
      <c r="A151" s="18" t="n"/>
      <c r="B151" s="18" t="n"/>
      <c r="C151" s="19" t="n"/>
      <c r="D151" s="19" t="n"/>
      <c r="E151" s="20" t="n"/>
      <c r="F151" s="19" t="n"/>
      <c r="G151" s="21" t="n"/>
      <c r="H151" s="22" t="n"/>
      <c r="I151" s="22" t="n"/>
      <c r="J151" s="22" t="n"/>
      <c r="K151" s="19" t="n"/>
      <c r="L151" s="19" t="n"/>
      <c r="M151" s="19" t="n"/>
      <c r="N151" s="19" t="n"/>
      <c r="O151" s="23">
        <f>IF(J151="","",H151+I151)</f>
        <v/>
      </c>
      <c r="P151" s="23">
        <f>IF(J151="","",J151-O151)</f>
        <v/>
      </c>
      <c r="Q151" s="24">
        <f>IF(OR(J151="",J151=0),"",P151/J151)</f>
        <v/>
      </c>
      <c r="R151" s="25">
        <f>IF(OR(A151="",B151=""),"",B151-A151)</f>
        <v/>
      </c>
      <c r="S151" s="26">
        <f>IF(B151="","",YEAR(B151))</f>
        <v/>
      </c>
      <c r="T151" s="27">
        <f>IF(B151="","",IF(OR(F151="Electric",F151="Plug-in",F151="Hibrid"),1,0))</f>
        <v/>
      </c>
    </row>
    <row r="152">
      <c r="A152" s="18" t="n"/>
      <c r="B152" s="18" t="n"/>
      <c r="C152" s="19" t="n"/>
      <c r="D152" s="19" t="n"/>
      <c r="E152" s="20" t="n"/>
      <c r="F152" s="19" t="n"/>
      <c r="G152" s="21" t="n"/>
      <c r="H152" s="22" t="n"/>
      <c r="I152" s="22" t="n"/>
      <c r="J152" s="22" t="n"/>
      <c r="K152" s="19" t="n"/>
      <c r="L152" s="19" t="n"/>
      <c r="M152" s="19" t="n"/>
      <c r="N152" s="19" t="n"/>
      <c r="O152" s="23">
        <f>IF(J152="","",H152+I152)</f>
        <v/>
      </c>
      <c r="P152" s="23">
        <f>IF(J152="","",J152-O152)</f>
        <v/>
      </c>
      <c r="Q152" s="24">
        <f>IF(OR(J152="",J152=0),"",P152/J152)</f>
        <v/>
      </c>
      <c r="R152" s="25">
        <f>IF(OR(A152="",B152=""),"",B152-A152)</f>
        <v/>
      </c>
      <c r="S152" s="26">
        <f>IF(B152="","",YEAR(B152))</f>
        <v/>
      </c>
      <c r="T152" s="27">
        <f>IF(B152="","",IF(OR(F152="Electric",F152="Plug-in",F152="Hibrid"),1,0))</f>
        <v/>
      </c>
    </row>
    <row r="153">
      <c r="A153" s="18" t="n"/>
      <c r="B153" s="18" t="n"/>
      <c r="C153" s="19" t="n"/>
      <c r="D153" s="19" t="n"/>
      <c r="E153" s="20" t="n"/>
      <c r="F153" s="19" t="n"/>
      <c r="G153" s="21" t="n"/>
      <c r="H153" s="22" t="n"/>
      <c r="I153" s="22" t="n"/>
      <c r="J153" s="22" t="n"/>
      <c r="K153" s="19" t="n"/>
      <c r="L153" s="19" t="n"/>
      <c r="M153" s="19" t="n"/>
      <c r="N153" s="19" t="n"/>
      <c r="O153" s="23">
        <f>IF(J153="","",H153+I153)</f>
        <v/>
      </c>
      <c r="P153" s="23">
        <f>IF(J153="","",J153-O153)</f>
        <v/>
      </c>
      <c r="Q153" s="24">
        <f>IF(OR(J153="",J153=0),"",P153/J153)</f>
        <v/>
      </c>
      <c r="R153" s="25">
        <f>IF(OR(A153="",B153=""),"",B153-A153)</f>
        <v/>
      </c>
      <c r="S153" s="26">
        <f>IF(B153="","",YEAR(B153))</f>
        <v/>
      </c>
      <c r="T153" s="27">
        <f>IF(B153="","",IF(OR(F153="Electric",F153="Plug-in",F153="Hibrid"),1,0))</f>
        <v/>
      </c>
    </row>
    <row r="154">
      <c r="A154" s="18" t="n"/>
      <c r="B154" s="18" t="n"/>
      <c r="C154" s="19" t="n"/>
      <c r="D154" s="19" t="n"/>
      <c r="E154" s="20" t="n"/>
      <c r="F154" s="19" t="n"/>
      <c r="G154" s="21" t="n"/>
      <c r="H154" s="22" t="n"/>
      <c r="I154" s="22" t="n"/>
      <c r="J154" s="22" t="n"/>
      <c r="K154" s="19" t="n"/>
      <c r="L154" s="19" t="n"/>
      <c r="M154" s="19" t="n"/>
      <c r="N154" s="19" t="n"/>
      <c r="O154" s="23">
        <f>IF(J154="","",H154+I154)</f>
        <v/>
      </c>
      <c r="P154" s="23">
        <f>IF(J154="","",J154-O154)</f>
        <v/>
      </c>
      <c r="Q154" s="24">
        <f>IF(OR(J154="",J154=0),"",P154/J154)</f>
        <v/>
      </c>
      <c r="R154" s="25">
        <f>IF(OR(A154="",B154=""),"",B154-A154)</f>
        <v/>
      </c>
      <c r="S154" s="26">
        <f>IF(B154="","",YEAR(B154))</f>
        <v/>
      </c>
      <c r="T154" s="27">
        <f>IF(B154="","",IF(OR(F154="Electric",F154="Plug-in",F154="Hibrid"),1,0))</f>
        <v/>
      </c>
    </row>
    <row r="155">
      <c r="A155" s="18" t="n"/>
      <c r="B155" s="18" t="n"/>
      <c r="C155" s="19" t="n"/>
      <c r="D155" s="19" t="n"/>
      <c r="E155" s="20" t="n"/>
      <c r="F155" s="19" t="n"/>
      <c r="G155" s="21" t="n"/>
      <c r="H155" s="22" t="n"/>
      <c r="I155" s="22" t="n"/>
      <c r="J155" s="22" t="n"/>
      <c r="K155" s="19" t="n"/>
      <c r="L155" s="19" t="n"/>
      <c r="M155" s="19" t="n"/>
      <c r="N155" s="19" t="n"/>
      <c r="O155" s="23">
        <f>IF(J155="","",H155+I155)</f>
        <v/>
      </c>
      <c r="P155" s="23">
        <f>IF(J155="","",J155-O155)</f>
        <v/>
      </c>
      <c r="Q155" s="24">
        <f>IF(OR(J155="",J155=0),"",P155/J155)</f>
        <v/>
      </c>
      <c r="R155" s="25">
        <f>IF(OR(A155="",B155=""),"",B155-A155)</f>
        <v/>
      </c>
      <c r="S155" s="26">
        <f>IF(B155="","",YEAR(B155))</f>
        <v/>
      </c>
      <c r="T155" s="27">
        <f>IF(B155="","",IF(OR(F155="Electric",F155="Plug-in",F155="Hibrid"),1,0))</f>
        <v/>
      </c>
    </row>
    <row r="156">
      <c r="A156" s="18" t="n"/>
      <c r="B156" s="18" t="n"/>
      <c r="C156" s="19" t="n"/>
      <c r="D156" s="19" t="n"/>
      <c r="E156" s="20" t="n"/>
      <c r="F156" s="19" t="n"/>
      <c r="G156" s="21" t="n"/>
      <c r="H156" s="22" t="n"/>
      <c r="I156" s="22" t="n"/>
      <c r="J156" s="22" t="n"/>
      <c r="K156" s="19" t="n"/>
      <c r="L156" s="19" t="n"/>
      <c r="M156" s="19" t="n"/>
      <c r="N156" s="19" t="n"/>
      <c r="O156" s="23">
        <f>IF(J156="","",H156+I156)</f>
        <v/>
      </c>
      <c r="P156" s="23">
        <f>IF(J156="","",J156-O156)</f>
        <v/>
      </c>
      <c r="Q156" s="24">
        <f>IF(OR(J156="",J156=0),"",P156/J156)</f>
        <v/>
      </c>
      <c r="R156" s="25">
        <f>IF(OR(A156="",B156=""),"",B156-A156)</f>
        <v/>
      </c>
      <c r="S156" s="26">
        <f>IF(B156="","",YEAR(B156))</f>
        <v/>
      </c>
      <c r="T156" s="27">
        <f>IF(B156="","",IF(OR(F156="Electric",F156="Plug-in",F156="Hibrid"),1,0))</f>
        <v/>
      </c>
    </row>
    <row r="157">
      <c r="A157" s="18" t="n"/>
      <c r="B157" s="18" t="n"/>
      <c r="C157" s="19" t="n"/>
      <c r="D157" s="19" t="n"/>
      <c r="E157" s="20" t="n"/>
      <c r="F157" s="19" t="n"/>
      <c r="G157" s="21" t="n"/>
      <c r="H157" s="22" t="n"/>
      <c r="I157" s="22" t="n"/>
      <c r="J157" s="22" t="n"/>
      <c r="K157" s="19" t="n"/>
      <c r="L157" s="19" t="n"/>
      <c r="M157" s="19" t="n"/>
      <c r="N157" s="19" t="n"/>
      <c r="O157" s="23">
        <f>IF(J157="","",H157+I157)</f>
        <v/>
      </c>
      <c r="P157" s="23">
        <f>IF(J157="","",J157-O157)</f>
        <v/>
      </c>
      <c r="Q157" s="24">
        <f>IF(OR(J157="",J157=0),"",P157/J157)</f>
        <v/>
      </c>
      <c r="R157" s="25">
        <f>IF(OR(A157="",B157=""),"",B157-A157)</f>
        <v/>
      </c>
      <c r="S157" s="26">
        <f>IF(B157="","",YEAR(B157))</f>
        <v/>
      </c>
      <c r="T157" s="27">
        <f>IF(B157="","",IF(OR(F157="Electric",F157="Plug-in",F157="Hibrid"),1,0))</f>
        <v/>
      </c>
    </row>
    <row r="158">
      <c r="A158" s="18" t="n"/>
      <c r="B158" s="18" t="n"/>
      <c r="C158" s="19" t="n"/>
      <c r="D158" s="19" t="n"/>
      <c r="E158" s="20" t="n"/>
      <c r="F158" s="19" t="n"/>
      <c r="G158" s="21" t="n"/>
      <c r="H158" s="22" t="n"/>
      <c r="I158" s="22" t="n"/>
      <c r="J158" s="22" t="n"/>
      <c r="K158" s="19" t="n"/>
      <c r="L158" s="19" t="n"/>
      <c r="M158" s="19" t="n"/>
      <c r="N158" s="19" t="n"/>
      <c r="O158" s="23">
        <f>IF(J158="","",H158+I158)</f>
        <v/>
      </c>
      <c r="P158" s="23">
        <f>IF(J158="","",J158-O158)</f>
        <v/>
      </c>
      <c r="Q158" s="24">
        <f>IF(OR(J158="",J158=0),"",P158/J158)</f>
        <v/>
      </c>
      <c r="R158" s="25">
        <f>IF(OR(A158="",B158=""),"",B158-A158)</f>
        <v/>
      </c>
      <c r="S158" s="26">
        <f>IF(B158="","",YEAR(B158))</f>
        <v/>
      </c>
      <c r="T158" s="27">
        <f>IF(B158="","",IF(OR(F158="Electric",F158="Plug-in",F158="Hibrid"),1,0))</f>
        <v/>
      </c>
    </row>
    <row r="159">
      <c r="A159" s="18" t="n"/>
      <c r="B159" s="18" t="n"/>
      <c r="C159" s="19" t="n"/>
      <c r="D159" s="19" t="n"/>
      <c r="E159" s="20" t="n"/>
      <c r="F159" s="19" t="n"/>
      <c r="G159" s="21" t="n"/>
      <c r="H159" s="22" t="n"/>
      <c r="I159" s="22" t="n"/>
      <c r="J159" s="22" t="n"/>
      <c r="K159" s="19" t="n"/>
      <c r="L159" s="19" t="n"/>
      <c r="M159" s="19" t="n"/>
      <c r="N159" s="19" t="n"/>
      <c r="O159" s="23">
        <f>IF(J159="","",H159+I159)</f>
        <v/>
      </c>
      <c r="P159" s="23">
        <f>IF(J159="","",J159-O159)</f>
        <v/>
      </c>
      <c r="Q159" s="24">
        <f>IF(OR(J159="",J159=0),"",P159/J159)</f>
        <v/>
      </c>
      <c r="R159" s="25">
        <f>IF(OR(A159="",B159=""),"",B159-A159)</f>
        <v/>
      </c>
      <c r="S159" s="26">
        <f>IF(B159="","",YEAR(B159))</f>
        <v/>
      </c>
      <c r="T159" s="27">
        <f>IF(B159="","",IF(OR(F159="Electric",F159="Plug-in",F159="Hibrid"),1,0))</f>
        <v/>
      </c>
    </row>
    <row r="160">
      <c r="A160" s="18" t="n"/>
      <c r="B160" s="18" t="n"/>
      <c r="C160" s="19" t="n"/>
      <c r="D160" s="19" t="n"/>
      <c r="E160" s="20" t="n"/>
      <c r="F160" s="19" t="n"/>
      <c r="G160" s="21" t="n"/>
      <c r="H160" s="22" t="n"/>
      <c r="I160" s="22" t="n"/>
      <c r="J160" s="22" t="n"/>
      <c r="K160" s="19" t="n"/>
      <c r="L160" s="19" t="n"/>
      <c r="M160" s="19" t="n"/>
      <c r="N160" s="19" t="n"/>
      <c r="O160" s="23">
        <f>IF(J160="","",H160+I160)</f>
        <v/>
      </c>
      <c r="P160" s="23">
        <f>IF(J160="","",J160-O160)</f>
        <v/>
      </c>
      <c r="Q160" s="24">
        <f>IF(OR(J160="",J160=0),"",P160/J160)</f>
        <v/>
      </c>
      <c r="R160" s="25">
        <f>IF(OR(A160="",B160=""),"",B160-A160)</f>
        <v/>
      </c>
      <c r="S160" s="26">
        <f>IF(B160="","",YEAR(B160))</f>
        <v/>
      </c>
      <c r="T160" s="27">
        <f>IF(B160="","",IF(OR(F160="Electric",F160="Plug-in",F160="Hibrid"),1,0))</f>
        <v/>
      </c>
    </row>
    <row r="161">
      <c r="A161" s="18" t="n"/>
      <c r="B161" s="18" t="n"/>
      <c r="C161" s="19" t="n"/>
      <c r="D161" s="19" t="n"/>
      <c r="E161" s="20" t="n"/>
      <c r="F161" s="19" t="n"/>
      <c r="G161" s="21" t="n"/>
      <c r="H161" s="22" t="n"/>
      <c r="I161" s="22" t="n"/>
      <c r="J161" s="22" t="n"/>
      <c r="K161" s="19" t="n"/>
      <c r="L161" s="19" t="n"/>
      <c r="M161" s="19" t="n"/>
      <c r="N161" s="19" t="n"/>
      <c r="O161" s="23">
        <f>IF(J161="","",H161+I161)</f>
        <v/>
      </c>
      <c r="P161" s="23">
        <f>IF(J161="","",J161-O161)</f>
        <v/>
      </c>
      <c r="Q161" s="24">
        <f>IF(OR(J161="",J161=0),"",P161/J161)</f>
        <v/>
      </c>
      <c r="R161" s="25">
        <f>IF(OR(A161="",B161=""),"",B161-A161)</f>
        <v/>
      </c>
      <c r="S161" s="26">
        <f>IF(B161="","",YEAR(B161))</f>
        <v/>
      </c>
      <c r="T161" s="27">
        <f>IF(B161="","",IF(OR(F161="Electric",F161="Plug-in",F161="Hibrid"),1,0))</f>
        <v/>
      </c>
    </row>
    <row r="162">
      <c r="A162" s="18" t="n"/>
      <c r="B162" s="18" t="n"/>
      <c r="C162" s="19" t="n"/>
      <c r="D162" s="19" t="n"/>
      <c r="E162" s="20" t="n"/>
      <c r="F162" s="19" t="n"/>
      <c r="G162" s="21" t="n"/>
      <c r="H162" s="22" t="n"/>
      <c r="I162" s="22" t="n"/>
      <c r="J162" s="22" t="n"/>
      <c r="K162" s="19" t="n"/>
      <c r="L162" s="19" t="n"/>
      <c r="M162" s="19" t="n"/>
      <c r="N162" s="19" t="n"/>
      <c r="O162" s="23">
        <f>IF(J162="","",H162+I162)</f>
        <v/>
      </c>
      <c r="P162" s="23">
        <f>IF(J162="","",J162-O162)</f>
        <v/>
      </c>
      <c r="Q162" s="24">
        <f>IF(OR(J162="",J162=0),"",P162/J162)</f>
        <v/>
      </c>
      <c r="R162" s="25">
        <f>IF(OR(A162="",B162=""),"",B162-A162)</f>
        <v/>
      </c>
      <c r="S162" s="26">
        <f>IF(B162="","",YEAR(B162))</f>
        <v/>
      </c>
      <c r="T162" s="27">
        <f>IF(B162="","",IF(OR(F162="Electric",F162="Plug-in",F162="Hibrid"),1,0))</f>
        <v/>
      </c>
    </row>
    <row r="163">
      <c r="A163" s="18" t="n"/>
      <c r="B163" s="18" t="n"/>
      <c r="C163" s="19" t="n"/>
      <c r="D163" s="19" t="n"/>
      <c r="E163" s="20" t="n"/>
      <c r="F163" s="19" t="n"/>
      <c r="G163" s="21" t="n"/>
      <c r="H163" s="22" t="n"/>
      <c r="I163" s="22" t="n"/>
      <c r="J163" s="22" t="n"/>
      <c r="K163" s="19" t="n"/>
      <c r="L163" s="19" t="n"/>
      <c r="M163" s="19" t="n"/>
      <c r="N163" s="19" t="n"/>
      <c r="O163" s="23">
        <f>IF(J163="","",H163+I163)</f>
        <v/>
      </c>
      <c r="P163" s="23">
        <f>IF(J163="","",J163-O163)</f>
        <v/>
      </c>
      <c r="Q163" s="24">
        <f>IF(OR(J163="",J163=0),"",P163/J163)</f>
        <v/>
      </c>
      <c r="R163" s="25">
        <f>IF(OR(A163="",B163=""),"",B163-A163)</f>
        <v/>
      </c>
      <c r="S163" s="26">
        <f>IF(B163="","",YEAR(B163))</f>
        <v/>
      </c>
      <c r="T163" s="27">
        <f>IF(B163="","",IF(OR(F163="Electric",F163="Plug-in",F163="Hibrid"),1,0))</f>
        <v/>
      </c>
    </row>
    <row r="164">
      <c r="A164" s="18" t="n"/>
      <c r="B164" s="18" t="n"/>
      <c r="C164" s="19" t="n"/>
      <c r="D164" s="19" t="n"/>
      <c r="E164" s="20" t="n"/>
      <c r="F164" s="19" t="n"/>
      <c r="G164" s="21" t="n"/>
      <c r="H164" s="22" t="n"/>
      <c r="I164" s="22" t="n"/>
      <c r="J164" s="22" t="n"/>
      <c r="K164" s="19" t="n"/>
      <c r="L164" s="19" t="n"/>
      <c r="M164" s="19" t="n"/>
      <c r="N164" s="19" t="n"/>
      <c r="O164" s="23">
        <f>IF(J164="","",H164+I164)</f>
        <v/>
      </c>
      <c r="P164" s="23">
        <f>IF(J164="","",J164-O164)</f>
        <v/>
      </c>
      <c r="Q164" s="24">
        <f>IF(OR(J164="",J164=0),"",P164/J164)</f>
        <v/>
      </c>
      <c r="R164" s="25">
        <f>IF(OR(A164="",B164=""),"",B164-A164)</f>
        <v/>
      </c>
      <c r="S164" s="26">
        <f>IF(B164="","",YEAR(B164))</f>
        <v/>
      </c>
      <c r="T164" s="27">
        <f>IF(B164="","",IF(OR(F164="Electric",F164="Plug-in",F164="Hibrid"),1,0))</f>
        <v/>
      </c>
    </row>
    <row r="165">
      <c r="A165" s="18" t="n"/>
      <c r="B165" s="18" t="n"/>
      <c r="C165" s="19" t="n"/>
      <c r="D165" s="19" t="n"/>
      <c r="E165" s="20" t="n"/>
      <c r="F165" s="19" t="n"/>
      <c r="G165" s="21" t="n"/>
      <c r="H165" s="22" t="n"/>
      <c r="I165" s="22" t="n"/>
      <c r="J165" s="22" t="n"/>
      <c r="K165" s="19" t="n"/>
      <c r="L165" s="19" t="n"/>
      <c r="M165" s="19" t="n"/>
      <c r="N165" s="19" t="n"/>
      <c r="O165" s="23">
        <f>IF(J165="","",H165+I165)</f>
        <v/>
      </c>
      <c r="P165" s="23">
        <f>IF(J165="","",J165-O165)</f>
        <v/>
      </c>
      <c r="Q165" s="24">
        <f>IF(OR(J165="",J165=0),"",P165/J165)</f>
        <v/>
      </c>
      <c r="R165" s="25">
        <f>IF(OR(A165="",B165=""),"",B165-A165)</f>
        <v/>
      </c>
      <c r="S165" s="26">
        <f>IF(B165="","",YEAR(B165))</f>
        <v/>
      </c>
      <c r="T165" s="27">
        <f>IF(B165="","",IF(OR(F165="Electric",F165="Plug-in",F165="Hibrid"),1,0))</f>
        <v/>
      </c>
    </row>
    <row r="166">
      <c r="A166" s="18" t="n"/>
      <c r="B166" s="18" t="n"/>
      <c r="C166" s="19" t="n"/>
      <c r="D166" s="19" t="n"/>
      <c r="E166" s="20" t="n"/>
      <c r="F166" s="19" t="n"/>
      <c r="G166" s="21" t="n"/>
      <c r="H166" s="22" t="n"/>
      <c r="I166" s="22" t="n"/>
      <c r="J166" s="22" t="n"/>
      <c r="K166" s="19" t="n"/>
      <c r="L166" s="19" t="n"/>
      <c r="M166" s="19" t="n"/>
      <c r="N166" s="19" t="n"/>
      <c r="O166" s="23">
        <f>IF(J166="","",H166+I166)</f>
        <v/>
      </c>
      <c r="P166" s="23">
        <f>IF(J166="","",J166-O166)</f>
        <v/>
      </c>
      <c r="Q166" s="24">
        <f>IF(OR(J166="",J166=0),"",P166/J166)</f>
        <v/>
      </c>
      <c r="R166" s="25">
        <f>IF(OR(A166="",B166=""),"",B166-A166)</f>
        <v/>
      </c>
      <c r="S166" s="26">
        <f>IF(B166="","",YEAR(B166))</f>
        <v/>
      </c>
      <c r="T166" s="27">
        <f>IF(B166="","",IF(OR(F166="Electric",F166="Plug-in",F166="Hibrid"),1,0))</f>
        <v/>
      </c>
    </row>
    <row r="167">
      <c r="A167" s="18" t="n"/>
      <c r="B167" s="18" t="n"/>
      <c r="C167" s="19" t="n"/>
      <c r="D167" s="19" t="n"/>
      <c r="E167" s="20" t="n"/>
      <c r="F167" s="19" t="n"/>
      <c r="G167" s="21" t="n"/>
      <c r="H167" s="22" t="n"/>
      <c r="I167" s="22" t="n"/>
      <c r="J167" s="22" t="n"/>
      <c r="K167" s="19" t="n"/>
      <c r="L167" s="19" t="n"/>
      <c r="M167" s="19" t="n"/>
      <c r="N167" s="19" t="n"/>
      <c r="O167" s="23">
        <f>IF(J167="","",H167+I167)</f>
        <v/>
      </c>
      <c r="P167" s="23">
        <f>IF(J167="","",J167-O167)</f>
        <v/>
      </c>
      <c r="Q167" s="24">
        <f>IF(OR(J167="",J167=0),"",P167/J167)</f>
        <v/>
      </c>
      <c r="R167" s="25">
        <f>IF(OR(A167="",B167=""),"",B167-A167)</f>
        <v/>
      </c>
      <c r="S167" s="26">
        <f>IF(B167="","",YEAR(B167))</f>
        <v/>
      </c>
      <c r="T167" s="27">
        <f>IF(B167="","",IF(OR(F167="Electric",F167="Plug-in",F167="Hibrid"),1,0))</f>
        <v/>
      </c>
    </row>
    <row r="168">
      <c r="A168" s="18" t="n"/>
      <c r="B168" s="18" t="n"/>
      <c r="C168" s="19" t="n"/>
      <c r="D168" s="19" t="n"/>
      <c r="E168" s="20" t="n"/>
      <c r="F168" s="19" t="n"/>
      <c r="G168" s="21" t="n"/>
      <c r="H168" s="22" t="n"/>
      <c r="I168" s="22" t="n"/>
      <c r="J168" s="22" t="n"/>
      <c r="K168" s="19" t="n"/>
      <c r="L168" s="19" t="n"/>
      <c r="M168" s="19" t="n"/>
      <c r="N168" s="19" t="n"/>
      <c r="O168" s="23">
        <f>IF(J168="","",H168+I168)</f>
        <v/>
      </c>
      <c r="P168" s="23">
        <f>IF(J168="","",J168-O168)</f>
        <v/>
      </c>
      <c r="Q168" s="24">
        <f>IF(OR(J168="",J168=0),"",P168/J168)</f>
        <v/>
      </c>
      <c r="R168" s="25">
        <f>IF(OR(A168="",B168=""),"",B168-A168)</f>
        <v/>
      </c>
      <c r="S168" s="26">
        <f>IF(B168="","",YEAR(B168))</f>
        <v/>
      </c>
      <c r="T168" s="27">
        <f>IF(B168="","",IF(OR(F168="Electric",F168="Plug-in",F168="Hibrid"),1,0))</f>
        <v/>
      </c>
    </row>
    <row r="169">
      <c r="A169" s="18" t="n"/>
      <c r="B169" s="18" t="n"/>
      <c r="C169" s="19" t="n"/>
      <c r="D169" s="19" t="n"/>
      <c r="E169" s="20" t="n"/>
      <c r="F169" s="19" t="n"/>
      <c r="G169" s="21" t="n"/>
      <c r="H169" s="22" t="n"/>
      <c r="I169" s="22" t="n"/>
      <c r="J169" s="22" t="n"/>
      <c r="K169" s="19" t="n"/>
      <c r="L169" s="19" t="n"/>
      <c r="M169" s="19" t="n"/>
      <c r="N169" s="19" t="n"/>
      <c r="O169" s="23">
        <f>IF(J169="","",H169+I169)</f>
        <v/>
      </c>
      <c r="P169" s="23">
        <f>IF(J169="","",J169-O169)</f>
        <v/>
      </c>
      <c r="Q169" s="24">
        <f>IF(OR(J169="",J169=0),"",P169/J169)</f>
        <v/>
      </c>
      <c r="R169" s="25">
        <f>IF(OR(A169="",B169=""),"",B169-A169)</f>
        <v/>
      </c>
      <c r="S169" s="26">
        <f>IF(B169="","",YEAR(B169))</f>
        <v/>
      </c>
      <c r="T169" s="27">
        <f>IF(B169="","",IF(OR(F169="Electric",F169="Plug-in",F169="Hibrid"),1,0))</f>
        <v/>
      </c>
    </row>
    <row r="170">
      <c r="A170" s="18" t="n"/>
      <c r="B170" s="18" t="n"/>
      <c r="C170" s="19" t="n"/>
      <c r="D170" s="19" t="n"/>
      <c r="E170" s="20" t="n"/>
      <c r="F170" s="19" t="n"/>
      <c r="G170" s="21" t="n"/>
      <c r="H170" s="22" t="n"/>
      <c r="I170" s="22" t="n"/>
      <c r="J170" s="22" t="n"/>
      <c r="K170" s="19" t="n"/>
      <c r="L170" s="19" t="n"/>
      <c r="M170" s="19" t="n"/>
      <c r="N170" s="19" t="n"/>
      <c r="O170" s="23">
        <f>IF(J170="","",H170+I170)</f>
        <v/>
      </c>
      <c r="P170" s="23">
        <f>IF(J170="","",J170-O170)</f>
        <v/>
      </c>
      <c r="Q170" s="24">
        <f>IF(OR(J170="",J170=0),"",P170/J170)</f>
        <v/>
      </c>
      <c r="R170" s="25">
        <f>IF(OR(A170="",B170=""),"",B170-A170)</f>
        <v/>
      </c>
      <c r="S170" s="26">
        <f>IF(B170="","",YEAR(B170))</f>
        <v/>
      </c>
      <c r="T170" s="27">
        <f>IF(B170="","",IF(OR(F170="Electric",F170="Plug-in",F170="Hibrid"),1,0))</f>
        <v/>
      </c>
    </row>
    <row r="171">
      <c r="A171" s="18" t="n"/>
      <c r="B171" s="18" t="n"/>
      <c r="C171" s="19" t="n"/>
      <c r="D171" s="19" t="n"/>
      <c r="E171" s="20" t="n"/>
      <c r="F171" s="19" t="n"/>
      <c r="G171" s="21" t="n"/>
      <c r="H171" s="22" t="n"/>
      <c r="I171" s="22" t="n"/>
      <c r="J171" s="22" t="n"/>
      <c r="K171" s="19" t="n"/>
      <c r="L171" s="19" t="n"/>
      <c r="M171" s="19" t="n"/>
      <c r="N171" s="19" t="n"/>
      <c r="O171" s="23">
        <f>IF(J171="","",H171+I171)</f>
        <v/>
      </c>
      <c r="P171" s="23">
        <f>IF(J171="","",J171-O171)</f>
        <v/>
      </c>
      <c r="Q171" s="24">
        <f>IF(OR(J171="",J171=0),"",P171/J171)</f>
        <v/>
      </c>
      <c r="R171" s="25">
        <f>IF(OR(A171="",B171=""),"",B171-A171)</f>
        <v/>
      </c>
      <c r="S171" s="26">
        <f>IF(B171="","",YEAR(B171))</f>
        <v/>
      </c>
      <c r="T171" s="27">
        <f>IF(B171="","",IF(OR(F171="Electric",F171="Plug-in",F171="Hibrid"),1,0))</f>
        <v/>
      </c>
    </row>
    <row r="172">
      <c r="A172" s="18" t="n"/>
      <c r="B172" s="18" t="n"/>
      <c r="C172" s="19" t="n"/>
      <c r="D172" s="19" t="n"/>
      <c r="E172" s="20" t="n"/>
      <c r="F172" s="19" t="n"/>
      <c r="G172" s="21" t="n"/>
      <c r="H172" s="22" t="n"/>
      <c r="I172" s="22" t="n"/>
      <c r="J172" s="22" t="n"/>
      <c r="K172" s="19" t="n"/>
      <c r="L172" s="19" t="n"/>
      <c r="M172" s="19" t="n"/>
      <c r="N172" s="19" t="n"/>
      <c r="O172" s="23">
        <f>IF(J172="","",H172+I172)</f>
        <v/>
      </c>
      <c r="P172" s="23">
        <f>IF(J172="","",J172-O172)</f>
        <v/>
      </c>
      <c r="Q172" s="24">
        <f>IF(OR(J172="",J172=0),"",P172/J172)</f>
        <v/>
      </c>
      <c r="R172" s="25">
        <f>IF(OR(A172="",B172=""),"",B172-A172)</f>
        <v/>
      </c>
      <c r="S172" s="26">
        <f>IF(B172="","",YEAR(B172))</f>
        <v/>
      </c>
      <c r="T172" s="27">
        <f>IF(B172="","",IF(OR(F172="Electric",F172="Plug-in",F172="Hibrid"),1,0))</f>
        <v/>
      </c>
    </row>
    <row r="173">
      <c r="A173" s="18" t="n"/>
      <c r="B173" s="18" t="n"/>
      <c r="C173" s="19" t="n"/>
      <c r="D173" s="19" t="n"/>
      <c r="E173" s="20" t="n"/>
      <c r="F173" s="19" t="n"/>
      <c r="G173" s="21" t="n"/>
      <c r="H173" s="22" t="n"/>
      <c r="I173" s="22" t="n"/>
      <c r="J173" s="22" t="n"/>
      <c r="K173" s="19" t="n"/>
      <c r="L173" s="19" t="n"/>
      <c r="M173" s="19" t="n"/>
      <c r="N173" s="19" t="n"/>
      <c r="O173" s="23">
        <f>IF(J173="","",H173+I173)</f>
        <v/>
      </c>
      <c r="P173" s="23">
        <f>IF(J173="","",J173-O173)</f>
        <v/>
      </c>
      <c r="Q173" s="24">
        <f>IF(OR(J173="",J173=0),"",P173/J173)</f>
        <v/>
      </c>
      <c r="R173" s="25">
        <f>IF(OR(A173="",B173=""),"",B173-A173)</f>
        <v/>
      </c>
      <c r="S173" s="26">
        <f>IF(B173="","",YEAR(B173))</f>
        <v/>
      </c>
      <c r="T173" s="27">
        <f>IF(B173="","",IF(OR(F173="Electric",F173="Plug-in",F173="Hibrid"),1,0))</f>
        <v/>
      </c>
    </row>
    <row r="174">
      <c r="A174" s="18" t="n"/>
      <c r="B174" s="18" t="n"/>
      <c r="C174" s="19" t="n"/>
      <c r="D174" s="19" t="n"/>
      <c r="E174" s="20" t="n"/>
      <c r="F174" s="19" t="n"/>
      <c r="G174" s="21" t="n"/>
      <c r="H174" s="22" t="n"/>
      <c r="I174" s="22" t="n"/>
      <c r="J174" s="22" t="n"/>
      <c r="K174" s="19" t="n"/>
      <c r="L174" s="19" t="n"/>
      <c r="M174" s="19" t="n"/>
      <c r="N174" s="19" t="n"/>
      <c r="O174" s="23">
        <f>IF(J174="","",H174+I174)</f>
        <v/>
      </c>
      <c r="P174" s="23">
        <f>IF(J174="","",J174-O174)</f>
        <v/>
      </c>
      <c r="Q174" s="24">
        <f>IF(OR(J174="",J174=0),"",P174/J174)</f>
        <v/>
      </c>
      <c r="R174" s="25">
        <f>IF(OR(A174="",B174=""),"",B174-A174)</f>
        <v/>
      </c>
      <c r="S174" s="26">
        <f>IF(B174="","",YEAR(B174))</f>
        <v/>
      </c>
      <c r="T174" s="27">
        <f>IF(B174="","",IF(OR(F174="Electric",F174="Plug-in",F174="Hibrid"),1,0))</f>
        <v/>
      </c>
    </row>
    <row r="175">
      <c r="A175" s="18" t="n"/>
      <c r="B175" s="18" t="n"/>
      <c r="C175" s="19" t="n"/>
      <c r="D175" s="19" t="n"/>
      <c r="E175" s="20" t="n"/>
      <c r="F175" s="19" t="n"/>
      <c r="G175" s="21" t="n"/>
      <c r="H175" s="22" t="n"/>
      <c r="I175" s="22" t="n"/>
      <c r="J175" s="22" t="n"/>
      <c r="K175" s="19" t="n"/>
      <c r="L175" s="19" t="n"/>
      <c r="M175" s="19" t="n"/>
      <c r="N175" s="19" t="n"/>
      <c r="O175" s="23">
        <f>IF(J175="","",H175+I175)</f>
        <v/>
      </c>
      <c r="P175" s="23">
        <f>IF(J175="","",J175-O175)</f>
        <v/>
      </c>
      <c r="Q175" s="24">
        <f>IF(OR(J175="",J175=0),"",P175/J175)</f>
        <v/>
      </c>
      <c r="R175" s="25">
        <f>IF(OR(A175="",B175=""),"",B175-A175)</f>
        <v/>
      </c>
      <c r="S175" s="26">
        <f>IF(B175="","",YEAR(B175))</f>
        <v/>
      </c>
      <c r="T175" s="27">
        <f>IF(B175="","",IF(OR(F175="Electric",F175="Plug-in",F175="Hibrid"),1,0))</f>
        <v/>
      </c>
    </row>
    <row r="176">
      <c r="A176" s="18" t="n"/>
      <c r="B176" s="18" t="n"/>
      <c r="C176" s="19" t="n"/>
      <c r="D176" s="19" t="n"/>
      <c r="E176" s="20" t="n"/>
      <c r="F176" s="19" t="n"/>
      <c r="G176" s="21" t="n"/>
      <c r="H176" s="22" t="n"/>
      <c r="I176" s="22" t="n"/>
      <c r="J176" s="22" t="n"/>
      <c r="K176" s="19" t="n"/>
      <c r="L176" s="19" t="n"/>
      <c r="M176" s="19" t="n"/>
      <c r="N176" s="19" t="n"/>
      <c r="O176" s="23">
        <f>IF(J176="","",H176+I176)</f>
        <v/>
      </c>
      <c r="P176" s="23">
        <f>IF(J176="","",J176-O176)</f>
        <v/>
      </c>
      <c r="Q176" s="24">
        <f>IF(OR(J176="",J176=0),"",P176/J176)</f>
        <v/>
      </c>
      <c r="R176" s="25">
        <f>IF(OR(A176="",B176=""),"",B176-A176)</f>
        <v/>
      </c>
      <c r="S176" s="26">
        <f>IF(B176="","",YEAR(B176))</f>
        <v/>
      </c>
      <c r="T176" s="27">
        <f>IF(B176="","",IF(OR(F176="Electric",F176="Plug-in",F176="Hibrid"),1,0))</f>
        <v/>
      </c>
    </row>
    <row r="177">
      <c r="A177" s="18" t="n"/>
      <c r="B177" s="18" t="n"/>
      <c r="C177" s="19" t="n"/>
      <c r="D177" s="19" t="n"/>
      <c r="E177" s="20" t="n"/>
      <c r="F177" s="19" t="n"/>
      <c r="G177" s="21" t="n"/>
      <c r="H177" s="22" t="n"/>
      <c r="I177" s="22" t="n"/>
      <c r="J177" s="22" t="n"/>
      <c r="K177" s="19" t="n"/>
      <c r="L177" s="19" t="n"/>
      <c r="M177" s="19" t="n"/>
      <c r="N177" s="19" t="n"/>
      <c r="O177" s="23">
        <f>IF(J177="","",H177+I177)</f>
        <v/>
      </c>
      <c r="P177" s="23">
        <f>IF(J177="","",J177-O177)</f>
        <v/>
      </c>
      <c r="Q177" s="24">
        <f>IF(OR(J177="",J177=0),"",P177/J177)</f>
        <v/>
      </c>
      <c r="R177" s="25">
        <f>IF(OR(A177="",B177=""),"",B177-A177)</f>
        <v/>
      </c>
      <c r="S177" s="26">
        <f>IF(B177="","",YEAR(B177))</f>
        <v/>
      </c>
      <c r="T177" s="27">
        <f>IF(B177="","",IF(OR(F177="Electric",F177="Plug-in",F177="Hibrid"),1,0))</f>
        <v/>
      </c>
    </row>
    <row r="178">
      <c r="A178" s="18" t="n"/>
      <c r="B178" s="18" t="n"/>
      <c r="C178" s="19" t="n"/>
      <c r="D178" s="19" t="n"/>
      <c r="E178" s="20" t="n"/>
      <c r="F178" s="19" t="n"/>
      <c r="G178" s="21" t="n"/>
      <c r="H178" s="22" t="n"/>
      <c r="I178" s="22" t="n"/>
      <c r="J178" s="22" t="n"/>
      <c r="K178" s="19" t="n"/>
      <c r="L178" s="19" t="n"/>
      <c r="M178" s="19" t="n"/>
      <c r="N178" s="19" t="n"/>
      <c r="O178" s="23">
        <f>IF(J178="","",H178+I178)</f>
        <v/>
      </c>
      <c r="P178" s="23">
        <f>IF(J178="","",J178-O178)</f>
        <v/>
      </c>
      <c r="Q178" s="24">
        <f>IF(OR(J178="",J178=0),"",P178/J178)</f>
        <v/>
      </c>
      <c r="R178" s="25">
        <f>IF(OR(A178="",B178=""),"",B178-A178)</f>
        <v/>
      </c>
      <c r="S178" s="26">
        <f>IF(B178="","",YEAR(B178))</f>
        <v/>
      </c>
      <c r="T178" s="27">
        <f>IF(B178="","",IF(OR(F178="Electric",F178="Plug-in",F178="Hibrid"),1,0))</f>
        <v/>
      </c>
    </row>
    <row r="179">
      <c r="A179" s="18" t="n"/>
      <c r="B179" s="18" t="n"/>
      <c r="C179" s="19" t="n"/>
      <c r="D179" s="19" t="n"/>
      <c r="E179" s="20" t="n"/>
      <c r="F179" s="19" t="n"/>
      <c r="G179" s="21" t="n"/>
      <c r="H179" s="22" t="n"/>
      <c r="I179" s="22" t="n"/>
      <c r="J179" s="22" t="n"/>
      <c r="K179" s="19" t="n"/>
      <c r="L179" s="19" t="n"/>
      <c r="M179" s="19" t="n"/>
      <c r="N179" s="19" t="n"/>
      <c r="O179" s="23">
        <f>IF(J179="","",H179+I179)</f>
        <v/>
      </c>
      <c r="P179" s="23">
        <f>IF(J179="","",J179-O179)</f>
        <v/>
      </c>
      <c r="Q179" s="24">
        <f>IF(OR(J179="",J179=0),"",P179/J179)</f>
        <v/>
      </c>
      <c r="R179" s="25">
        <f>IF(OR(A179="",B179=""),"",B179-A179)</f>
        <v/>
      </c>
      <c r="S179" s="26">
        <f>IF(B179="","",YEAR(B179))</f>
        <v/>
      </c>
      <c r="T179" s="27">
        <f>IF(B179="","",IF(OR(F179="Electric",F179="Plug-in",F179="Hibrid"),1,0))</f>
        <v/>
      </c>
    </row>
    <row r="180">
      <c r="A180" s="18" t="n"/>
      <c r="B180" s="18" t="n"/>
      <c r="C180" s="19" t="n"/>
      <c r="D180" s="19" t="n"/>
      <c r="E180" s="20" t="n"/>
      <c r="F180" s="19" t="n"/>
      <c r="G180" s="21" t="n"/>
      <c r="H180" s="22" t="n"/>
      <c r="I180" s="22" t="n"/>
      <c r="J180" s="22" t="n"/>
      <c r="K180" s="19" t="n"/>
      <c r="L180" s="19" t="n"/>
      <c r="M180" s="19" t="n"/>
      <c r="N180" s="19" t="n"/>
      <c r="O180" s="23">
        <f>IF(J180="","",H180+I180)</f>
        <v/>
      </c>
      <c r="P180" s="23">
        <f>IF(J180="","",J180-O180)</f>
        <v/>
      </c>
      <c r="Q180" s="24">
        <f>IF(OR(J180="",J180=0),"",P180/J180)</f>
        <v/>
      </c>
      <c r="R180" s="25">
        <f>IF(OR(A180="",B180=""),"",B180-A180)</f>
        <v/>
      </c>
      <c r="S180" s="26">
        <f>IF(B180="","",YEAR(B180))</f>
        <v/>
      </c>
      <c r="T180" s="27">
        <f>IF(B180="","",IF(OR(F180="Electric",F180="Plug-in",F180="Hibrid"),1,0))</f>
        <v/>
      </c>
    </row>
    <row r="181">
      <c r="A181" s="18" t="n"/>
      <c r="B181" s="18" t="n"/>
      <c r="C181" s="19" t="n"/>
      <c r="D181" s="19" t="n"/>
      <c r="E181" s="20" t="n"/>
      <c r="F181" s="19" t="n"/>
      <c r="G181" s="21" t="n"/>
      <c r="H181" s="22" t="n"/>
      <c r="I181" s="22" t="n"/>
      <c r="J181" s="22" t="n"/>
      <c r="K181" s="19" t="n"/>
      <c r="L181" s="19" t="n"/>
      <c r="M181" s="19" t="n"/>
      <c r="N181" s="19" t="n"/>
      <c r="O181" s="23">
        <f>IF(J181="","",H181+I181)</f>
        <v/>
      </c>
      <c r="P181" s="23">
        <f>IF(J181="","",J181-O181)</f>
        <v/>
      </c>
      <c r="Q181" s="24">
        <f>IF(OR(J181="",J181=0),"",P181/J181)</f>
        <v/>
      </c>
      <c r="R181" s="25">
        <f>IF(OR(A181="",B181=""),"",B181-A181)</f>
        <v/>
      </c>
      <c r="S181" s="26">
        <f>IF(B181="","",YEAR(B181))</f>
        <v/>
      </c>
      <c r="T181" s="27">
        <f>IF(B181="","",IF(OR(F181="Electric",F181="Plug-in",F181="Hibrid"),1,0))</f>
        <v/>
      </c>
    </row>
    <row r="182">
      <c r="A182" s="18" t="n"/>
      <c r="B182" s="18" t="n"/>
      <c r="C182" s="19" t="n"/>
      <c r="D182" s="19" t="n"/>
      <c r="E182" s="20" t="n"/>
      <c r="F182" s="19" t="n"/>
      <c r="G182" s="21" t="n"/>
      <c r="H182" s="22" t="n"/>
      <c r="I182" s="22" t="n"/>
      <c r="J182" s="22" t="n"/>
      <c r="K182" s="19" t="n"/>
      <c r="L182" s="19" t="n"/>
      <c r="M182" s="19" t="n"/>
      <c r="N182" s="19" t="n"/>
      <c r="O182" s="23">
        <f>IF(J182="","",H182+I182)</f>
        <v/>
      </c>
      <c r="P182" s="23">
        <f>IF(J182="","",J182-O182)</f>
        <v/>
      </c>
      <c r="Q182" s="24">
        <f>IF(OR(J182="",J182=0),"",P182/J182)</f>
        <v/>
      </c>
      <c r="R182" s="25">
        <f>IF(OR(A182="",B182=""),"",B182-A182)</f>
        <v/>
      </c>
      <c r="S182" s="26">
        <f>IF(B182="","",YEAR(B182))</f>
        <v/>
      </c>
      <c r="T182" s="27">
        <f>IF(B182="","",IF(OR(F182="Electric",F182="Plug-in",F182="Hibrid"),1,0))</f>
        <v/>
      </c>
    </row>
    <row r="183">
      <c r="A183" s="18" t="n"/>
      <c r="B183" s="18" t="n"/>
      <c r="C183" s="19" t="n"/>
      <c r="D183" s="19" t="n"/>
      <c r="E183" s="20" t="n"/>
      <c r="F183" s="19" t="n"/>
      <c r="G183" s="21" t="n"/>
      <c r="H183" s="22" t="n"/>
      <c r="I183" s="22" t="n"/>
      <c r="J183" s="22" t="n"/>
      <c r="K183" s="19" t="n"/>
      <c r="L183" s="19" t="n"/>
      <c r="M183" s="19" t="n"/>
      <c r="N183" s="19" t="n"/>
      <c r="O183" s="23">
        <f>IF(J183="","",H183+I183)</f>
        <v/>
      </c>
      <c r="P183" s="23">
        <f>IF(J183="","",J183-O183)</f>
        <v/>
      </c>
      <c r="Q183" s="24">
        <f>IF(OR(J183="",J183=0),"",P183/J183)</f>
        <v/>
      </c>
      <c r="R183" s="25">
        <f>IF(OR(A183="",B183=""),"",B183-A183)</f>
        <v/>
      </c>
      <c r="S183" s="26">
        <f>IF(B183="","",YEAR(B183))</f>
        <v/>
      </c>
      <c r="T183" s="27">
        <f>IF(B183="","",IF(OR(F183="Electric",F183="Plug-in",F183="Hibrid"),1,0))</f>
        <v/>
      </c>
    </row>
    <row r="184">
      <c r="A184" s="18" t="n"/>
      <c r="B184" s="18" t="n"/>
      <c r="C184" s="19" t="n"/>
      <c r="D184" s="19" t="n"/>
      <c r="E184" s="20" t="n"/>
      <c r="F184" s="19" t="n"/>
      <c r="G184" s="21" t="n"/>
      <c r="H184" s="22" t="n"/>
      <c r="I184" s="22" t="n"/>
      <c r="J184" s="22" t="n"/>
      <c r="K184" s="19" t="n"/>
      <c r="L184" s="19" t="n"/>
      <c r="M184" s="19" t="n"/>
      <c r="N184" s="19" t="n"/>
      <c r="O184" s="23">
        <f>IF(J184="","",H184+I184)</f>
        <v/>
      </c>
      <c r="P184" s="23">
        <f>IF(J184="","",J184-O184)</f>
        <v/>
      </c>
      <c r="Q184" s="24">
        <f>IF(OR(J184="",J184=0),"",P184/J184)</f>
        <v/>
      </c>
      <c r="R184" s="25">
        <f>IF(OR(A184="",B184=""),"",B184-A184)</f>
        <v/>
      </c>
      <c r="S184" s="26">
        <f>IF(B184="","",YEAR(B184))</f>
        <v/>
      </c>
      <c r="T184" s="27">
        <f>IF(B184="","",IF(OR(F184="Electric",F184="Plug-in",F184="Hibrid"),1,0))</f>
        <v/>
      </c>
    </row>
    <row r="185">
      <c r="A185" s="18" t="n"/>
      <c r="B185" s="18" t="n"/>
      <c r="C185" s="19" t="n"/>
      <c r="D185" s="19" t="n"/>
      <c r="E185" s="20" t="n"/>
      <c r="F185" s="19" t="n"/>
      <c r="G185" s="21" t="n"/>
      <c r="H185" s="22" t="n"/>
      <c r="I185" s="22" t="n"/>
      <c r="J185" s="22" t="n"/>
      <c r="K185" s="19" t="n"/>
      <c r="L185" s="19" t="n"/>
      <c r="M185" s="19" t="n"/>
      <c r="N185" s="19" t="n"/>
      <c r="O185" s="23">
        <f>IF(J185="","",H185+I185)</f>
        <v/>
      </c>
      <c r="P185" s="23">
        <f>IF(J185="","",J185-O185)</f>
        <v/>
      </c>
      <c r="Q185" s="24">
        <f>IF(OR(J185="",J185=0),"",P185/J185)</f>
        <v/>
      </c>
      <c r="R185" s="25">
        <f>IF(OR(A185="",B185=""),"",B185-A185)</f>
        <v/>
      </c>
      <c r="S185" s="26">
        <f>IF(B185="","",YEAR(B185))</f>
        <v/>
      </c>
      <c r="T185" s="27">
        <f>IF(B185="","",IF(OR(F185="Electric",F185="Plug-in",F185="Hibrid"),1,0))</f>
        <v/>
      </c>
    </row>
    <row r="186">
      <c r="A186" s="18" t="n"/>
      <c r="B186" s="18" t="n"/>
      <c r="C186" s="19" t="n"/>
      <c r="D186" s="19" t="n"/>
      <c r="E186" s="20" t="n"/>
      <c r="F186" s="19" t="n"/>
      <c r="G186" s="21" t="n"/>
      <c r="H186" s="22" t="n"/>
      <c r="I186" s="22" t="n"/>
      <c r="J186" s="22" t="n"/>
      <c r="K186" s="19" t="n"/>
      <c r="L186" s="19" t="n"/>
      <c r="M186" s="19" t="n"/>
      <c r="N186" s="19" t="n"/>
      <c r="O186" s="23">
        <f>IF(J186="","",H186+I186)</f>
        <v/>
      </c>
      <c r="P186" s="23">
        <f>IF(J186="","",J186-O186)</f>
        <v/>
      </c>
      <c r="Q186" s="24">
        <f>IF(OR(J186="",J186=0),"",P186/J186)</f>
        <v/>
      </c>
      <c r="R186" s="25">
        <f>IF(OR(A186="",B186=""),"",B186-A186)</f>
        <v/>
      </c>
      <c r="S186" s="26">
        <f>IF(B186="","",YEAR(B186))</f>
        <v/>
      </c>
      <c r="T186" s="27">
        <f>IF(B186="","",IF(OR(F186="Electric",F186="Plug-in",F186="Hibrid"),1,0))</f>
        <v/>
      </c>
    </row>
    <row r="187">
      <c r="A187" s="18" t="n"/>
      <c r="B187" s="18" t="n"/>
      <c r="C187" s="19" t="n"/>
      <c r="D187" s="19" t="n"/>
      <c r="E187" s="20" t="n"/>
      <c r="F187" s="19" t="n"/>
      <c r="G187" s="21" t="n"/>
      <c r="H187" s="22" t="n"/>
      <c r="I187" s="22" t="n"/>
      <c r="J187" s="22" t="n"/>
      <c r="K187" s="19" t="n"/>
      <c r="L187" s="19" t="n"/>
      <c r="M187" s="19" t="n"/>
      <c r="N187" s="19" t="n"/>
      <c r="O187" s="23">
        <f>IF(J187="","",H187+I187)</f>
        <v/>
      </c>
      <c r="P187" s="23">
        <f>IF(J187="","",J187-O187)</f>
        <v/>
      </c>
      <c r="Q187" s="24">
        <f>IF(OR(J187="",J187=0),"",P187/J187)</f>
        <v/>
      </c>
      <c r="R187" s="25">
        <f>IF(OR(A187="",B187=""),"",B187-A187)</f>
        <v/>
      </c>
      <c r="S187" s="26">
        <f>IF(B187="","",YEAR(B187))</f>
        <v/>
      </c>
      <c r="T187" s="27">
        <f>IF(B187="","",IF(OR(F187="Electric",F187="Plug-in",F187="Hibrid"),1,0))</f>
        <v/>
      </c>
    </row>
    <row r="188">
      <c r="A188" s="18" t="n"/>
      <c r="B188" s="18" t="n"/>
      <c r="C188" s="19" t="n"/>
      <c r="D188" s="19" t="n"/>
      <c r="E188" s="20" t="n"/>
      <c r="F188" s="19" t="n"/>
      <c r="G188" s="21" t="n"/>
      <c r="H188" s="22" t="n"/>
      <c r="I188" s="22" t="n"/>
      <c r="J188" s="22" t="n"/>
      <c r="K188" s="19" t="n"/>
      <c r="L188" s="19" t="n"/>
      <c r="M188" s="19" t="n"/>
      <c r="N188" s="19" t="n"/>
      <c r="O188" s="23">
        <f>IF(J188="","",H188+I188)</f>
        <v/>
      </c>
      <c r="P188" s="23">
        <f>IF(J188="","",J188-O188)</f>
        <v/>
      </c>
      <c r="Q188" s="24">
        <f>IF(OR(J188="",J188=0),"",P188/J188)</f>
        <v/>
      </c>
      <c r="R188" s="25">
        <f>IF(OR(A188="",B188=""),"",B188-A188)</f>
        <v/>
      </c>
      <c r="S188" s="26">
        <f>IF(B188="","",YEAR(B188))</f>
        <v/>
      </c>
      <c r="T188" s="27">
        <f>IF(B188="","",IF(OR(F188="Electric",F188="Plug-in",F188="Hibrid"),1,0))</f>
        <v/>
      </c>
    </row>
    <row r="189">
      <c r="A189" s="18" t="n"/>
      <c r="B189" s="18" t="n"/>
      <c r="C189" s="19" t="n"/>
      <c r="D189" s="19" t="n"/>
      <c r="E189" s="20" t="n"/>
      <c r="F189" s="19" t="n"/>
      <c r="G189" s="21" t="n"/>
      <c r="H189" s="22" t="n"/>
      <c r="I189" s="22" t="n"/>
      <c r="J189" s="22" t="n"/>
      <c r="K189" s="19" t="n"/>
      <c r="L189" s="19" t="n"/>
      <c r="M189" s="19" t="n"/>
      <c r="N189" s="19" t="n"/>
      <c r="O189" s="23">
        <f>IF(J189="","",H189+I189)</f>
        <v/>
      </c>
      <c r="P189" s="23">
        <f>IF(J189="","",J189-O189)</f>
        <v/>
      </c>
      <c r="Q189" s="24">
        <f>IF(OR(J189="",J189=0),"",P189/J189)</f>
        <v/>
      </c>
      <c r="R189" s="25">
        <f>IF(OR(A189="",B189=""),"",B189-A189)</f>
        <v/>
      </c>
      <c r="S189" s="26">
        <f>IF(B189="","",YEAR(B189))</f>
        <v/>
      </c>
      <c r="T189" s="27">
        <f>IF(B189="","",IF(OR(F189="Electric",F189="Plug-in",F189="Hibrid"),1,0))</f>
        <v/>
      </c>
    </row>
    <row r="190">
      <c r="A190" s="18" t="n"/>
      <c r="B190" s="18" t="n"/>
      <c r="C190" s="19" t="n"/>
      <c r="D190" s="19" t="n"/>
      <c r="E190" s="20" t="n"/>
      <c r="F190" s="19" t="n"/>
      <c r="G190" s="21" t="n"/>
      <c r="H190" s="22" t="n"/>
      <c r="I190" s="22" t="n"/>
      <c r="J190" s="22" t="n"/>
      <c r="K190" s="19" t="n"/>
      <c r="L190" s="19" t="n"/>
      <c r="M190" s="19" t="n"/>
      <c r="N190" s="19" t="n"/>
      <c r="O190" s="23">
        <f>IF(J190="","",H190+I190)</f>
        <v/>
      </c>
      <c r="P190" s="23">
        <f>IF(J190="","",J190-O190)</f>
        <v/>
      </c>
      <c r="Q190" s="24">
        <f>IF(OR(J190="",J190=0),"",P190/J190)</f>
        <v/>
      </c>
      <c r="R190" s="25">
        <f>IF(OR(A190="",B190=""),"",B190-A190)</f>
        <v/>
      </c>
      <c r="S190" s="26">
        <f>IF(B190="","",YEAR(B190))</f>
        <v/>
      </c>
      <c r="T190" s="27">
        <f>IF(B190="","",IF(OR(F190="Electric",F190="Plug-in",F190="Hibrid"),1,0))</f>
        <v/>
      </c>
    </row>
    <row r="191">
      <c r="A191" s="18" t="n"/>
      <c r="B191" s="18" t="n"/>
      <c r="C191" s="19" t="n"/>
      <c r="D191" s="19" t="n"/>
      <c r="E191" s="20" t="n"/>
      <c r="F191" s="19" t="n"/>
      <c r="G191" s="21" t="n"/>
      <c r="H191" s="22" t="n"/>
      <c r="I191" s="22" t="n"/>
      <c r="J191" s="22" t="n"/>
      <c r="K191" s="19" t="n"/>
      <c r="L191" s="19" t="n"/>
      <c r="M191" s="19" t="n"/>
      <c r="N191" s="19" t="n"/>
      <c r="O191" s="23">
        <f>IF(J191="","",H191+I191)</f>
        <v/>
      </c>
      <c r="P191" s="23">
        <f>IF(J191="","",J191-O191)</f>
        <v/>
      </c>
      <c r="Q191" s="24">
        <f>IF(OR(J191="",J191=0),"",P191/J191)</f>
        <v/>
      </c>
      <c r="R191" s="25">
        <f>IF(OR(A191="",B191=""),"",B191-A191)</f>
        <v/>
      </c>
      <c r="S191" s="26">
        <f>IF(B191="","",YEAR(B191))</f>
        <v/>
      </c>
      <c r="T191" s="27">
        <f>IF(B191="","",IF(OR(F191="Electric",F191="Plug-in",F191="Hibrid"),1,0))</f>
        <v/>
      </c>
    </row>
    <row r="192">
      <c r="A192" s="18" t="n"/>
      <c r="B192" s="18" t="n"/>
      <c r="C192" s="19" t="n"/>
      <c r="D192" s="19" t="n"/>
      <c r="E192" s="20" t="n"/>
      <c r="F192" s="19" t="n"/>
      <c r="G192" s="21" t="n"/>
      <c r="H192" s="22" t="n"/>
      <c r="I192" s="22" t="n"/>
      <c r="J192" s="22" t="n"/>
      <c r="K192" s="19" t="n"/>
      <c r="L192" s="19" t="n"/>
      <c r="M192" s="19" t="n"/>
      <c r="N192" s="19" t="n"/>
      <c r="O192" s="23">
        <f>IF(J192="","",H192+I192)</f>
        <v/>
      </c>
      <c r="P192" s="23">
        <f>IF(J192="","",J192-O192)</f>
        <v/>
      </c>
      <c r="Q192" s="24">
        <f>IF(OR(J192="",J192=0),"",P192/J192)</f>
        <v/>
      </c>
      <c r="R192" s="25">
        <f>IF(OR(A192="",B192=""),"",B192-A192)</f>
        <v/>
      </c>
      <c r="S192" s="26">
        <f>IF(B192="","",YEAR(B192))</f>
        <v/>
      </c>
      <c r="T192" s="27">
        <f>IF(B192="","",IF(OR(F192="Electric",F192="Plug-in",F192="Hibrid"),1,0))</f>
        <v/>
      </c>
    </row>
    <row r="193">
      <c r="A193" s="18" t="n"/>
      <c r="B193" s="18" t="n"/>
      <c r="C193" s="19" t="n"/>
      <c r="D193" s="19" t="n"/>
      <c r="E193" s="20" t="n"/>
      <c r="F193" s="19" t="n"/>
      <c r="G193" s="21" t="n"/>
      <c r="H193" s="22" t="n"/>
      <c r="I193" s="22" t="n"/>
      <c r="J193" s="22" t="n"/>
      <c r="K193" s="19" t="n"/>
      <c r="L193" s="19" t="n"/>
      <c r="M193" s="19" t="n"/>
      <c r="N193" s="19" t="n"/>
      <c r="O193" s="23">
        <f>IF(J193="","",H193+I193)</f>
        <v/>
      </c>
      <c r="P193" s="23">
        <f>IF(J193="","",J193-O193)</f>
        <v/>
      </c>
      <c r="Q193" s="24">
        <f>IF(OR(J193="",J193=0),"",P193/J193)</f>
        <v/>
      </c>
      <c r="R193" s="25">
        <f>IF(OR(A193="",B193=""),"",B193-A193)</f>
        <v/>
      </c>
      <c r="S193" s="26">
        <f>IF(B193="","",YEAR(B193))</f>
        <v/>
      </c>
      <c r="T193" s="27">
        <f>IF(B193="","",IF(OR(F193="Electric",F193="Plug-in",F193="Hibrid"),1,0))</f>
        <v/>
      </c>
    </row>
    <row r="194">
      <c r="A194" s="18" t="n"/>
      <c r="B194" s="18" t="n"/>
      <c r="C194" s="19" t="n"/>
      <c r="D194" s="19" t="n"/>
      <c r="E194" s="20" t="n"/>
      <c r="F194" s="19" t="n"/>
      <c r="G194" s="21" t="n"/>
      <c r="H194" s="22" t="n"/>
      <c r="I194" s="22" t="n"/>
      <c r="J194" s="22" t="n"/>
      <c r="K194" s="19" t="n"/>
      <c r="L194" s="19" t="n"/>
      <c r="M194" s="19" t="n"/>
      <c r="N194" s="19" t="n"/>
      <c r="O194" s="23">
        <f>IF(J194="","",H194+I194)</f>
        <v/>
      </c>
      <c r="P194" s="23">
        <f>IF(J194="","",J194-O194)</f>
        <v/>
      </c>
      <c r="Q194" s="24">
        <f>IF(OR(J194="",J194=0),"",P194/J194)</f>
        <v/>
      </c>
      <c r="R194" s="25">
        <f>IF(OR(A194="",B194=""),"",B194-A194)</f>
        <v/>
      </c>
      <c r="S194" s="26">
        <f>IF(B194="","",YEAR(B194))</f>
        <v/>
      </c>
      <c r="T194" s="27">
        <f>IF(B194="","",IF(OR(F194="Electric",F194="Plug-in",F194="Hibrid"),1,0))</f>
        <v/>
      </c>
    </row>
    <row r="195">
      <c r="A195" s="18" t="n"/>
      <c r="B195" s="18" t="n"/>
      <c r="C195" s="19" t="n"/>
      <c r="D195" s="19" t="n"/>
      <c r="E195" s="20" t="n"/>
      <c r="F195" s="19" t="n"/>
      <c r="G195" s="21" t="n"/>
      <c r="H195" s="22" t="n"/>
      <c r="I195" s="22" t="n"/>
      <c r="J195" s="22" t="n"/>
      <c r="K195" s="19" t="n"/>
      <c r="L195" s="19" t="n"/>
      <c r="M195" s="19" t="n"/>
      <c r="N195" s="19" t="n"/>
      <c r="O195" s="23">
        <f>IF(J195="","",H195+I195)</f>
        <v/>
      </c>
      <c r="P195" s="23">
        <f>IF(J195="","",J195-O195)</f>
        <v/>
      </c>
      <c r="Q195" s="24">
        <f>IF(OR(J195="",J195=0),"",P195/J195)</f>
        <v/>
      </c>
      <c r="R195" s="25">
        <f>IF(OR(A195="",B195=""),"",B195-A195)</f>
        <v/>
      </c>
      <c r="S195" s="26">
        <f>IF(B195="","",YEAR(B195))</f>
        <v/>
      </c>
      <c r="T195" s="27">
        <f>IF(B195="","",IF(OR(F195="Electric",F195="Plug-in",F195="Hibrid"),1,0))</f>
        <v/>
      </c>
    </row>
    <row r="196">
      <c r="A196" s="18" t="n"/>
      <c r="B196" s="18" t="n"/>
      <c r="C196" s="19" t="n"/>
      <c r="D196" s="19" t="n"/>
      <c r="E196" s="20" t="n"/>
      <c r="F196" s="19" t="n"/>
      <c r="G196" s="21" t="n"/>
      <c r="H196" s="22" t="n"/>
      <c r="I196" s="22" t="n"/>
      <c r="J196" s="22" t="n"/>
      <c r="K196" s="19" t="n"/>
      <c r="L196" s="19" t="n"/>
      <c r="M196" s="19" t="n"/>
      <c r="N196" s="19" t="n"/>
      <c r="O196" s="23">
        <f>IF(J196="","",H196+I196)</f>
        <v/>
      </c>
      <c r="P196" s="23">
        <f>IF(J196="","",J196-O196)</f>
        <v/>
      </c>
      <c r="Q196" s="24">
        <f>IF(OR(J196="",J196=0),"",P196/J196)</f>
        <v/>
      </c>
      <c r="R196" s="25">
        <f>IF(OR(A196="",B196=""),"",B196-A196)</f>
        <v/>
      </c>
      <c r="S196" s="26">
        <f>IF(B196="","",YEAR(B196))</f>
        <v/>
      </c>
      <c r="T196" s="27">
        <f>IF(B196="","",IF(OR(F196="Electric",F196="Plug-in",F196="Hibrid"),1,0))</f>
        <v/>
      </c>
    </row>
    <row r="197">
      <c r="A197" s="18" t="n"/>
      <c r="B197" s="18" t="n"/>
      <c r="C197" s="19" t="n"/>
      <c r="D197" s="19" t="n"/>
      <c r="E197" s="20" t="n"/>
      <c r="F197" s="19" t="n"/>
      <c r="G197" s="21" t="n"/>
      <c r="H197" s="22" t="n"/>
      <c r="I197" s="22" t="n"/>
      <c r="J197" s="22" t="n"/>
      <c r="K197" s="19" t="n"/>
      <c r="L197" s="19" t="n"/>
      <c r="M197" s="19" t="n"/>
      <c r="N197" s="19" t="n"/>
      <c r="O197" s="23">
        <f>IF(J197="","",H197+I197)</f>
        <v/>
      </c>
      <c r="P197" s="23">
        <f>IF(J197="","",J197-O197)</f>
        <v/>
      </c>
      <c r="Q197" s="24">
        <f>IF(OR(J197="",J197=0),"",P197/J197)</f>
        <v/>
      </c>
      <c r="R197" s="25">
        <f>IF(OR(A197="",B197=""),"",B197-A197)</f>
        <v/>
      </c>
      <c r="S197" s="26">
        <f>IF(B197="","",YEAR(B197))</f>
        <v/>
      </c>
      <c r="T197" s="27">
        <f>IF(B197="","",IF(OR(F197="Electric",F197="Plug-in",F197="Hibrid"),1,0))</f>
        <v/>
      </c>
    </row>
    <row r="198">
      <c r="A198" s="18" t="n"/>
      <c r="B198" s="18" t="n"/>
      <c r="C198" s="19" t="n"/>
      <c r="D198" s="19" t="n"/>
      <c r="E198" s="20" t="n"/>
      <c r="F198" s="19" t="n"/>
      <c r="G198" s="21" t="n"/>
      <c r="H198" s="22" t="n"/>
      <c r="I198" s="22" t="n"/>
      <c r="J198" s="22" t="n"/>
      <c r="K198" s="19" t="n"/>
      <c r="L198" s="19" t="n"/>
      <c r="M198" s="19" t="n"/>
      <c r="N198" s="19" t="n"/>
      <c r="O198" s="23">
        <f>IF(J198="","",H198+I198)</f>
        <v/>
      </c>
      <c r="P198" s="23">
        <f>IF(J198="","",J198-O198)</f>
        <v/>
      </c>
      <c r="Q198" s="24">
        <f>IF(OR(J198="",J198=0),"",P198/J198)</f>
        <v/>
      </c>
      <c r="R198" s="25">
        <f>IF(OR(A198="",B198=""),"",B198-A198)</f>
        <v/>
      </c>
      <c r="S198" s="26">
        <f>IF(B198="","",YEAR(B198))</f>
        <v/>
      </c>
      <c r="T198" s="27">
        <f>IF(B198="","",IF(OR(F198="Electric",F198="Plug-in",F198="Hibrid"),1,0))</f>
        <v/>
      </c>
    </row>
    <row r="199">
      <c r="A199" s="18" t="n"/>
      <c r="B199" s="18" t="n"/>
      <c r="C199" s="19" t="n"/>
      <c r="D199" s="19" t="n"/>
      <c r="E199" s="20" t="n"/>
      <c r="F199" s="19" t="n"/>
      <c r="G199" s="21" t="n"/>
      <c r="H199" s="22" t="n"/>
      <c r="I199" s="22" t="n"/>
      <c r="J199" s="22" t="n"/>
      <c r="K199" s="19" t="n"/>
      <c r="L199" s="19" t="n"/>
      <c r="M199" s="19" t="n"/>
      <c r="N199" s="19" t="n"/>
      <c r="O199" s="23">
        <f>IF(J199="","",H199+I199)</f>
        <v/>
      </c>
      <c r="P199" s="23">
        <f>IF(J199="","",J199-O199)</f>
        <v/>
      </c>
      <c r="Q199" s="24">
        <f>IF(OR(J199="",J199=0),"",P199/J199)</f>
        <v/>
      </c>
      <c r="R199" s="25">
        <f>IF(OR(A199="",B199=""),"",B199-A199)</f>
        <v/>
      </c>
      <c r="S199" s="26">
        <f>IF(B199="","",YEAR(B199))</f>
        <v/>
      </c>
      <c r="T199" s="27">
        <f>IF(B199="","",IF(OR(F199="Electric",F199="Plug-in",F199="Hibrid"),1,0))</f>
        <v/>
      </c>
    </row>
    <row r="200">
      <c r="A200" s="18" t="n"/>
      <c r="B200" s="18" t="n"/>
      <c r="C200" s="19" t="n"/>
      <c r="D200" s="19" t="n"/>
      <c r="E200" s="20" t="n"/>
      <c r="F200" s="19" t="n"/>
      <c r="G200" s="21" t="n"/>
      <c r="H200" s="22" t="n"/>
      <c r="I200" s="22" t="n"/>
      <c r="J200" s="22" t="n"/>
      <c r="K200" s="19" t="n"/>
      <c r="L200" s="19" t="n"/>
      <c r="M200" s="19" t="n"/>
      <c r="N200" s="19" t="n"/>
      <c r="O200" s="23">
        <f>IF(J200="","",H200+I200)</f>
        <v/>
      </c>
      <c r="P200" s="23">
        <f>IF(J200="","",J200-O200)</f>
        <v/>
      </c>
      <c r="Q200" s="24">
        <f>IF(OR(J200="",J200=0),"",P200/J200)</f>
        <v/>
      </c>
      <c r="R200" s="25">
        <f>IF(OR(A200="",B200=""),"",B200-A200)</f>
        <v/>
      </c>
      <c r="S200" s="26">
        <f>IF(B200="","",YEAR(B200))</f>
        <v/>
      </c>
      <c r="T200" s="27">
        <f>IF(B200="","",IF(OR(F200="Electric",F200="Plug-in",F200="Hibrid"),1,0))</f>
        <v/>
      </c>
    </row>
    <row r="201">
      <c r="A201" s="18" t="n"/>
      <c r="B201" s="18" t="n"/>
      <c r="C201" s="19" t="n"/>
      <c r="D201" s="19" t="n"/>
      <c r="E201" s="20" t="n"/>
      <c r="F201" s="19" t="n"/>
      <c r="G201" s="21" t="n"/>
      <c r="H201" s="22" t="n"/>
      <c r="I201" s="22" t="n"/>
      <c r="J201" s="22" t="n"/>
      <c r="K201" s="19" t="n"/>
      <c r="L201" s="19" t="n"/>
      <c r="M201" s="19" t="n"/>
      <c r="N201" s="19" t="n"/>
      <c r="O201" s="23">
        <f>IF(J201="","",H201+I201)</f>
        <v/>
      </c>
      <c r="P201" s="23">
        <f>IF(J201="","",J201-O201)</f>
        <v/>
      </c>
      <c r="Q201" s="24">
        <f>IF(OR(J201="",J201=0),"",P201/J201)</f>
        <v/>
      </c>
      <c r="R201" s="25">
        <f>IF(OR(A201="",B201=""),"",B201-A201)</f>
        <v/>
      </c>
      <c r="S201" s="26">
        <f>IF(B201="","",YEAR(B201))</f>
        <v/>
      </c>
      <c r="T201" s="27">
        <f>IF(B201="","",IF(OR(F201="Electric",F201="Plug-in",F201="Hibrid"),1,0))</f>
        <v/>
      </c>
    </row>
    <row r="202">
      <c r="A202" s="18" t="n"/>
      <c r="B202" s="18" t="n"/>
      <c r="C202" s="19" t="n"/>
      <c r="D202" s="19" t="n"/>
      <c r="E202" s="20" t="n"/>
      <c r="F202" s="19" t="n"/>
      <c r="G202" s="21" t="n"/>
      <c r="H202" s="22" t="n"/>
      <c r="I202" s="22" t="n"/>
      <c r="J202" s="22" t="n"/>
      <c r="K202" s="19" t="n"/>
      <c r="L202" s="19" t="n"/>
      <c r="M202" s="19" t="n"/>
      <c r="N202" s="19" t="n"/>
      <c r="O202" s="23">
        <f>IF(J202="","",H202+I202)</f>
        <v/>
      </c>
      <c r="P202" s="23">
        <f>IF(J202="","",J202-O202)</f>
        <v/>
      </c>
      <c r="Q202" s="24">
        <f>IF(OR(J202="",J202=0),"",P202/J202)</f>
        <v/>
      </c>
      <c r="R202" s="25">
        <f>IF(OR(A202="",B202=""),"",B202-A202)</f>
        <v/>
      </c>
      <c r="S202" s="26">
        <f>IF(B202="","",YEAR(B202))</f>
        <v/>
      </c>
      <c r="T202" s="27">
        <f>IF(B202="","",IF(OR(F202="Electric",F202="Plug-in",F202="Hibrid"),1,0))</f>
        <v/>
      </c>
    </row>
    <row r="203">
      <c r="A203" s="18" t="n"/>
      <c r="B203" s="18" t="n"/>
      <c r="C203" s="19" t="n"/>
      <c r="D203" s="19" t="n"/>
      <c r="E203" s="20" t="n"/>
      <c r="F203" s="19" t="n"/>
      <c r="G203" s="21" t="n"/>
      <c r="H203" s="22" t="n"/>
      <c r="I203" s="22" t="n"/>
      <c r="J203" s="22" t="n"/>
      <c r="K203" s="19" t="n"/>
      <c r="L203" s="19" t="n"/>
      <c r="M203" s="19" t="n"/>
      <c r="N203" s="19" t="n"/>
      <c r="O203" s="23">
        <f>IF(J203="","",H203+I203)</f>
        <v/>
      </c>
      <c r="P203" s="23">
        <f>IF(J203="","",J203-O203)</f>
        <v/>
      </c>
      <c r="Q203" s="24">
        <f>IF(OR(J203="",J203=0),"",P203/J203)</f>
        <v/>
      </c>
      <c r="R203" s="25">
        <f>IF(OR(A203="",B203=""),"",B203-A203)</f>
        <v/>
      </c>
      <c r="S203" s="26">
        <f>IF(B203="","",YEAR(B203))</f>
        <v/>
      </c>
      <c r="T203" s="27">
        <f>IF(B203="","",IF(OR(F203="Electric",F203="Plug-in",F203="Hibrid"),1,0))</f>
        <v/>
      </c>
    </row>
    <row r="204">
      <c r="A204" s="18" t="n"/>
      <c r="B204" s="18" t="n"/>
      <c r="C204" s="19" t="n"/>
      <c r="D204" s="19" t="n"/>
      <c r="E204" s="20" t="n"/>
      <c r="F204" s="19" t="n"/>
      <c r="G204" s="21" t="n"/>
      <c r="H204" s="22" t="n"/>
      <c r="I204" s="22" t="n"/>
      <c r="J204" s="22" t="n"/>
      <c r="K204" s="19" t="n"/>
      <c r="L204" s="19" t="n"/>
      <c r="M204" s="19" t="n"/>
      <c r="N204" s="19" t="n"/>
      <c r="O204" s="23">
        <f>IF(J204="","",H204+I204)</f>
        <v/>
      </c>
      <c r="P204" s="23">
        <f>IF(J204="","",J204-O204)</f>
        <v/>
      </c>
      <c r="Q204" s="24">
        <f>IF(OR(J204="",J204=0),"",P204/J204)</f>
        <v/>
      </c>
      <c r="R204" s="25">
        <f>IF(OR(A204="",B204=""),"",B204-A204)</f>
        <v/>
      </c>
      <c r="S204" s="26">
        <f>IF(B204="","",YEAR(B204))</f>
        <v/>
      </c>
      <c r="T204" s="27">
        <f>IF(B204="","",IF(OR(F204="Electric",F204="Plug-in",F204="Hibrid"),1,0))</f>
        <v/>
      </c>
    </row>
    <row r="205">
      <c r="A205" s="18" t="n"/>
      <c r="B205" s="18" t="n"/>
      <c r="C205" s="19" t="n"/>
      <c r="D205" s="19" t="n"/>
      <c r="E205" s="20" t="n"/>
      <c r="F205" s="19" t="n"/>
      <c r="G205" s="21" t="n"/>
      <c r="H205" s="22" t="n"/>
      <c r="I205" s="22" t="n"/>
      <c r="J205" s="22" t="n"/>
      <c r="K205" s="19" t="n"/>
      <c r="L205" s="19" t="n"/>
      <c r="M205" s="19" t="n"/>
      <c r="N205" s="19" t="n"/>
      <c r="O205" s="23">
        <f>IF(J205="","",H205+I205)</f>
        <v/>
      </c>
      <c r="P205" s="23">
        <f>IF(J205="","",J205-O205)</f>
        <v/>
      </c>
      <c r="Q205" s="24">
        <f>IF(OR(J205="",J205=0),"",P205/J205)</f>
        <v/>
      </c>
      <c r="R205" s="25">
        <f>IF(OR(A205="",B205=""),"",B205-A205)</f>
        <v/>
      </c>
      <c r="S205" s="26">
        <f>IF(B205="","",YEAR(B205))</f>
        <v/>
      </c>
      <c r="T205" s="27">
        <f>IF(B205="","",IF(OR(F205="Electric",F205="Plug-in",F205="Hibrid"),1,0))</f>
        <v/>
      </c>
    </row>
    <row r="206">
      <c r="A206" s="18" t="n"/>
      <c r="B206" s="18" t="n"/>
      <c r="C206" s="19" t="n"/>
      <c r="D206" s="19" t="n"/>
      <c r="E206" s="20" t="n"/>
      <c r="F206" s="19" t="n"/>
      <c r="G206" s="21" t="n"/>
      <c r="H206" s="22" t="n"/>
      <c r="I206" s="22" t="n"/>
      <c r="J206" s="22" t="n"/>
      <c r="K206" s="19" t="n"/>
      <c r="L206" s="19" t="n"/>
      <c r="M206" s="19" t="n"/>
      <c r="N206" s="19" t="n"/>
      <c r="O206" s="23">
        <f>IF(J206="","",H206+I206)</f>
        <v/>
      </c>
      <c r="P206" s="23">
        <f>IF(J206="","",J206-O206)</f>
        <v/>
      </c>
      <c r="Q206" s="24">
        <f>IF(OR(J206="",J206=0),"",P206/J206)</f>
        <v/>
      </c>
      <c r="R206" s="25">
        <f>IF(OR(A206="",B206=""),"",B206-A206)</f>
        <v/>
      </c>
      <c r="S206" s="26">
        <f>IF(B206="","",YEAR(B206))</f>
        <v/>
      </c>
      <c r="T206" s="27">
        <f>IF(B206="","",IF(OR(F206="Electric",F206="Plug-in",F206="Hibrid"),1,0))</f>
        <v/>
      </c>
    </row>
    <row r="207">
      <c r="A207" s="18" t="n"/>
      <c r="B207" s="18" t="n"/>
      <c r="C207" s="19" t="n"/>
      <c r="D207" s="19" t="n"/>
      <c r="E207" s="20" t="n"/>
      <c r="F207" s="19" t="n"/>
      <c r="G207" s="21" t="n"/>
      <c r="H207" s="22" t="n"/>
      <c r="I207" s="22" t="n"/>
      <c r="J207" s="22" t="n"/>
      <c r="K207" s="19" t="n"/>
      <c r="L207" s="19" t="n"/>
      <c r="M207" s="19" t="n"/>
      <c r="N207" s="19" t="n"/>
      <c r="O207" s="23">
        <f>IF(J207="","",H207+I207)</f>
        <v/>
      </c>
      <c r="P207" s="23">
        <f>IF(J207="","",J207-O207)</f>
        <v/>
      </c>
      <c r="Q207" s="24">
        <f>IF(OR(J207="",J207=0),"",P207/J207)</f>
        <v/>
      </c>
      <c r="R207" s="25">
        <f>IF(OR(A207="",B207=""),"",B207-A207)</f>
        <v/>
      </c>
      <c r="S207" s="26">
        <f>IF(B207="","",YEAR(B207))</f>
        <v/>
      </c>
      <c r="T207" s="27">
        <f>IF(B207="","",IF(OR(F207="Electric",F207="Plug-in",F207="Hibrid"),1,0))</f>
        <v/>
      </c>
    </row>
    <row r="208">
      <c r="A208" s="18" t="n"/>
      <c r="B208" s="18" t="n"/>
      <c r="C208" s="19" t="n"/>
      <c r="D208" s="19" t="n"/>
      <c r="E208" s="20" t="n"/>
      <c r="F208" s="19" t="n"/>
      <c r="G208" s="21" t="n"/>
      <c r="H208" s="22" t="n"/>
      <c r="I208" s="22" t="n"/>
      <c r="J208" s="22" t="n"/>
      <c r="K208" s="19" t="n"/>
      <c r="L208" s="19" t="n"/>
      <c r="M208" s="19" t="n"/>
      <c r="N208" s="19" t="n"/>
      <c r="O208" s="23">
        <f>IF(J208="","",H208+I208)</f>
        <v/>
      </c>
      <c r="P208" s="23">
        <f>IF(J208="","",J208-O208)</f>
        <v/>
      </c>
      <c r="Q208" s="24">
        <f>IF(OR(J208="",J208=0),"",P208/J208)</f>
        <v/>
      </c>
      <c r="R208" s="25">
        <f>IF(OR(A208="",B208=""),"",B208-A208)</f>
        <v/>
      </c>
      <c r="S208" s="26">
        <f>IF(B208="","",YEAR(B208))</f>
        <v/>
      </c>
      <c r="T208" s="27">
        <f>IF(B208="","",IF(OR(F208="Electric",F208="Plug-in",F208="Hibrid"),1,0))</f>
        <v/>
      </c>
    </row>
    <row r="209">
      <c r="A209" s="18" t="n"/>
      <c r="B209" s="18" t="n"/>
      <c r="C209" s="19" t="n"/>
      <c r="D209" s="19" t="n"/>
      <c r="E209" s="20" t="n"/>
      <c r="F209" s="19" t="n"/>
      <c r="G209" s="21" t="n"/>
      <c r="H209" s="22" t="n"/>
      <c r="I209" s="22" t="n"/>
      <c r="J209" s="22" t="n"/>
      <c r="K209" s="19" t="n"/>
      <c r="L209" s="19" t="n"/>
      <c r="M209" s="19" t="n"/>
      <c r="N209" s="19" t="n"/>
      <c r="O209" s="23">
        <f>IF(J209="","",H209+I209)</f>
        <v/>
      </c>
      <c r="P209" s="23">
        <f>IF(J209="","",J209-O209)</f>
        <v/>
      </c>
      <c r="Q209" s="24">
        <f>IF(OR(J209="",J209=0),"",P209/J209)</f>
        <v/>
      </c>
      <c r="R209" s="25">
        <f>IF(OR(A209="",B209=""),"",B209-A209)</f>
        <v/>
      </c>
      <c r="S209" s="26">
        <f>IF(B209="","",YEAR(B209))</f>
        <v/>
      </c>
      <c r="T209" s="27">
        <f>IF(B209="","",IF(OR(F209="Electric",F209="Plug-in",F209="Hibrid"),1,0))</f>
        <v/>
      </c>
    </row>
    <row r="210">
      <c r="A210" s="18" t="n"/>
      <c r="B210" s="18" t="n"/>
      <c r="C210" s="19" t="n"/>
      <c r="D210" s="19" t="n"/>
      <c r="E210" s="20" t="n"/>
      <c r="F210" s="19" t="n"/>
      <c r="G210" s="21" t="n"/>
      <c r="H210" s="22" t="n"/>
      <c r="I210" s="22" t="n"/>
      <c r="J210" s="22" t="n"/>
      <c r="K210" s="19" t="n"/>
      <c r="L210" s="19" t="n"/>
      <c r="M210" s="19" t="n"/>
      <c r="N210" s="19" t="n"/>
      <c r="O210" s="23">
        <f>IF(J210="","",H210+I210)</f>
        <v/>
      </c>
      <c r="P210" s="23">
        <f>IF(J210="","",J210-O210)</f>
        <v/>
      </c>
      <c r="Q210" s="24">
        <f>IF(OR(J210="",J210=0),"",P210/J210)</f>
        <v/>
      </c>
      <c r="R210" s="25">
        <f>IF(OR(A210="",B210=""),"",B210-A210)</f>
        <v/>
      </c>
      <c r="S210" s="26">
        <f>IF(B210="","",YEAR(B210))</f>
        <v/>
      </c>
      <c r="T210" s="27">
        <f>IF(B210="","",IF(OR(F210="Electric",F210="Plug-in",F210="Hibrid"),1,0))</f>
        <v/>
      </c>
    </row>
    <row r="211">
      <c r="A211" s="18" t="n"/>
      <c r="B211" s="18" t="n"/>
      <c r="C211" s="19" t="n"/>
      <c r="D211" s="19" t="n"/>
      <c r="E211" s="20" t="n"/>
      <c r="F211" s="19" t="n"/>
      <c r="G211" s="21" t="n"/>
      <c r="H211" s="22" t="n"/>
      <c r="I211" s="22" t="n"/>
      <c r="J211" s="22" t="n"/>
      <c r="K211" s="19" t="n"/>
      <c r="L211" s="19" t="n"/>
      <c r="M211" s="19" t="n"/>
      <c r="N211" s="19" t="n"/>
      <c r="O211" s="23">
        <f>IF(J211="","",H211+I211)</f>
        <v/>
      </c>
      <c r="P211" s="23">
        <f>IF(J211="","",J211-O211)</f>
        <v/>
      </c>
      <c r="Q211" s="24">
        <f>IF(OR(J211="",J211=0),"",P211/J211)</f>
        <v/>
      </c>
      <c r="R211" s="25">
        <f>IF(OR(A211="",B211=""),"",B211-A211)</f>
        <v/>
      </c>
      <c r="S211" s="26">
        <f>IF(B211="","",YEAR(B211))</f>
        <v/>
      </c>
      <c r="T211" s="27">
        <f>IF(B211="","",IF(OR(F211="Electric",F211="Plug-in",F211="Hibrid"),1,0))</f>
        <v/>
      </c>
    </row>
    <row r="212">
      <c r="A212" s="18" t="n"/>
      <c r="B212" s="18" t="n"/>
      <c r="C212" s="19" t="n"/>
      <c r="D212" s="19" t="n"/>
      <c r="E212" s="20" t="n"/>
      <c r="F212" s="19" t="n"/>
      <c r="G212" s="21" t="n"/>
      <c r="H212" s="22" t="n"/>
      <c r="I212" s="22" t="n"/>
      <c r="J212" s="22" t="n"/>
      <c r="K212" s="19" t="n"/>
      <c r="L212" s="19" t="n"/>
      <c r="M212" s="19" t="n"/>
      <c r="N212" s="19" t="n"/>
      <c r="O212" s="23">
        <f>IF(J212="","",H212+I212)</f>
        <v/>
      </c>
      <c r="P212" s="23">
        <f>IF(J212="","",J212-O212)</f>
        <v/>
      </c>
      <c r="Q212" s="24">
        <f>IF(OR(J212="",J212=0),"",P212/J212)</f>
        <v/>
      </c>
      <c r="R212" s="25">
        <f>IF(OR(A212="",B212=""),"",B212-A212)</f>
        <v/>
      </c>
      <c r="S212" s="26">
        <f>IF(B212="","",YEAR(B212))</f>
        <v/>
      </c>
      <c r="T212" s="27">
        <f>IF(B212="","",IF(OR(F212="Electric",F212="Plug-in",F212="Hibrid"),1,0))</f>
        <v/>
      </c>
    </row>
    <row r="213">
      <c r="A213" s="18" t="n"/>
      <c r="B213" s="18" t="n"/>
      <c r="C213" s="19" t="n"/>
      <c r="D213" s="19" t="n"/>
      <c r="E213" s="20" t="n"/>
      <c r="F213" s="19" t="n"/>
      <c r="G213" s="21" t="n"/>
      <c r="H213" s="22" t="n"/>
      <c r="I213" s="22" t="n"/>
      <c r="J213" s="22" t="n"/>
      <c r="K213" s="19" t="n"/>
      <c r="L213" s="19" t="n"/>
      <c r="M213" s="19" t="n"/>
      <c r="N213" s="19" t="n"/>
      <c r="O213" s="23">
        <f>IF(J213="","",H213+I213)</f>
        <v/>
      </c>
      <c r="P213" s="23">
        <f>IF(J213="","",J213-O213)</f>
        <v/>
      </c>
      <c r="Q213" s="24">
        <f>IF(OR(J213="",J213=0),"",P213/J213)</f>
        <v/>
      </c>
      <c r="R213" s="25">
        <f>IF(OR(A213="",B213=""),"",B213-A213)</f>
        <v/>
      </c>
      <c r="S213" s="26">
        <f>IF(B213="","",YEAR(B213))</f>
        <v/>
      </c>
      <c r="T213" s="27">
        <f>IF(B213="","",IF(OR(F213="Electric",F213="Plug-in",F213="Hibrid"),1,0))</f>
        <v/>
      </c>
    </row>
    <row r="214">
      <c r="A214" s="18" t="n"/>
      <c r="B214" s="18" t="n"/>
      <c r="C214" s="19" t="n"/>
      <c r="D214" s="19" t="n"/>
      <c r="E214" s="20" t="n"/>
      <c r="F214" s="19" t="n"/>
      <c r="G214" s="21" t="n"/>
      <c r="H214" s="22" t="n"/>
      <c r="I214" s="22" t="n"/>
      <c r="J214" s="22" t="n"/>
      <c r="K214" s="19" t="n"/>
      <c r="L214" s="19" t="n"/>
      <c r="M214" s="19" t="n"/>
      <c r="N214" s="19" t="n"/>
      <c r="O214" s="23">
        <f>IF(J214="","",H214+I214)</f>
        <v/>
      </c>
      <c r="P214" s="23">
        <f>IF(J214="","",J214-O214)</f>
        <v/>
      </c>
      <c r="Q214" s="24">
        <f>IF(OR(J214="",J214=0),"",P214/J214)</f>
        <v/>
      </c>
      <c r="R214" s="25">
        <f>IF(OR(A214="",B214=""),"",B214-A214)</f>
        <v/>
      </c>
      <c r="S214" s="26">
        <f>IF(B214="","",YEAR(B214))</f>
        <v/>
      </c>
      <c r="T214" s="27">
        <f>IF(B214="","",IF(OR(F214="Electric",F214="Plug-in",F214="Hibrid"),1,0))</f>
        <v/>
      </c>
    </row>
    <row r="215">
      <c r="A215" s="18" t="n"/>
      <c r="B215" s="18" t="n"/>
      <c r="C215" s="19" t="n"/>
      <c r="D215" s="19" t="n"/>
      <c r="E215" s="20" t="n"/>
      <c r="F215" s="19" t="n"/>
      <c r="G215" s="21" t="n"/>
      <c r="H215" s="22" t="n"/>
      <c r="I215" s="22" t="n"/>
      <c r="J215" s="22" t="n"/>
      <c r="K215" s="19" t="n"/>
      <c r="L215" s="19" t="n"/>
      <c r="M215" s="19" t="n"/>
      <c r="N215" s="19" t="n"/>
      <c r="O215" s="23">
        <f>IF(J215="","",H215+I215)</f>
        <v/>
      </c>
      <c r="P215" s="23">
        <f>IF(J215="","",J215-O215)</f>
        <v/>
      </c>
      <c r="Q215" s="24">
        <f>IF(OR(J215="",J215=0),"",P215/J215)</f>
        <v/>
      </c>
      <c r="R215" s="25">
        <f>IF(OR(A215="",B215=""),"",B215-A215)</f>
        <v/>
      </c>
      <c r="S215" s="26">
        <f>IF(B215="","",YEAR(B215))</f>
        <v/>
      </c>
      <c r="T215" s="27">
        <f>IF(B215="","",IF(OR(F215="Electric",F215="Plug-in",F215="Hibrid"),1,0))</f>
        <v/>
      </c>
    </row>
    <row r="216">
      <c r="A216" s="18" t="n"/>
      <c r="B216" s="18" t="n"/>
      <c r="C216" s="19" t="n"/>
      <c r="D216" s="19" t="n"/>
      <c r="E216" s="20" t="n"/>
      <c r="F216" s="19" t="n"/>
      <c r="G216" s="21" t="n"/>
      <c r="H216" s="22" t="n"/>
      <c r="I216" s="22" t="n"/>
      <c r="J216" s="22" t="n"/>
      <c r="K216" s="19" t="n"/>
      <c r="L216" s="19" t="n"/>
      <c r="M216" s="19" t="n"/>
      <c r="N216" s="19" t="n"/>
      <c r="O216" s="23">
        <f>IF(J216="","",H216+I216)</f>
        <v/>
      </c>
      <c r="P216" s="23">
        <f>IF(J216="","",J216-O216)</f>
        <v/>
      </c>
      <c r="Q216" s="24">
        <f>IF(OR(J216="",J216=0),"",P216/J216)</f>
        <v/>
      </c>
      <c r="R216" s="25">
        <f>IF(OR(A216="",B216=""),"",B216-A216)</f>
        <v/>
      </c>
      <c r="S216" s="26">
        <f>IF(B216="","",YEAR(B216))</f>
        <v/>
      </c>
      <c r="T216" s="27">
        <f>IF(B216="","",IF(OR(F216="Electric",F216="Plug-in",F216="Hibrid"),1,0))</f>
        <v/>
      </c>
    </row>
    <row r="217">
      <c r="A217" s="18" t="n"/>
      <c r="B217" s="18" t="n"/>
      <c r="C217" s="19" t="n"/>
      <c r="D217" s="19" t="n"/>
      <c r="E217" s="20" t="n"/>
      <c r="F217" s="19" t="n"/>
      <c r="G217" s="21" t="n"/>
      <c r="H217" s="22" t="n"/>
      <c r="I217" s="22" t="n"/>
      <c r="J217" s="22" t="n"/>
      <c r="K217" s="19" t="n"/>
      <c r="L217" s="19" t="n"/>
      <c r="M217" s="19" t="n"/>
      <c r="N217" s="19" t="n"/>
      <c r="O217" s="23">
        <f>IF(J217="","",H217+I217)</f>
        <v/>
      </c>
      <c r="P217" s="23">
        <f>IF(J217="","",J217-O217)</f>
        <v/>
      </c>
      <c r="Q217" s="24">
        <f>IF(OR(J217="",J217=0),"",P217/J217)</f>
        <v/>
      </c>
      <c r="R217" s="25">
        <f>IF(OR(A217="",B217=""),"",B217-A217)</f>
        <v/>
      </c>
      <c r="S217" s="26">
        <f>IF(B217="","",YEAR(B217))</f>
        <v/>
      </c>
      <c r="T217" s="27">
        <f>IF(B217="","",IF(OR(F217="Electric",F217="Plug-in",F217="Hibrid"),1,0))</f>
        <v/>
      </c>
    </row>
    <row r="218">
      <c r="A218" s="18" t="n"/>
      <c r="B218" s="18" t="n"/>
      <c r="C218" s="19" t="n"/>
      <c r="D218" s="19" t="n"/>
      <c r="E218" s="20" t="n"/>
      <c r="F218" s="19" t="n"/>
      <c r="G218" s="21" t="n"/>
      <c r="H218" s="22" t="n"/>
      <c r="I218" s="22" t="n"/>
      <c r="J218" s="22" t="n"/>
      <c r="K218" s="19" t="n"/>
      <c r="L218" s="19" t="n"/>
      <c r="M218" s="19" t="n"/>
      <c r="N218" s="19" t="n"/>
      <c r="O218" s="23">
        <f>IF(J218="","",H218+I218)</f>
        <v/>
      </c>
      <c r="P218" s="23">
        <f>IF(J218="","",J218-O218)</f>
        <v/>
      </c>
      <c r="Q218" s="24">
        <f>IF(OR(J218="",J218=0),"",P218/J218)</f>
        <v/>
      </c>
      <c r="R218" s="25">
        <f>IF(OR(A218="",B218=""),"",B218-A218)</f>
        <v/>
      </c>
      <c r="S218" s="26">
        <f>IF(B218="","",YEAR(B218))</f>
        <v/>
      </c>
      <c r="T218" s="27">
        <f>IF(B218="","",IF(OR(F218="Electric",F218="Plug-in",F218="Hibrid"),1,0))</f>
        <v/>
      </c>
    </row>
    <row r="219">
      <c r="A219" s="18" t="n"/>
      <c r="B219" s="18" t="n"/>
      <c r="C219" s="19" t="n"/>
      <c r="D219" s="19" t="n"/>
      <c r="E219" s="20" t="n"/>
      <c r="F219" s="19" t="n"/>
      <c r="G219" s="21" t="n"/>
      <c r="H219" s="22" t="n"/>
      <c r="I219" s="22" t="n"/>
      <c r="J219" s="22" t="n"/>
      <c r="K219" s="19" t="n"/>
      <c r="L219" s="19" t="n"/>
      <c r="M219" s="19" t="n"/>
      <c r="N219" s="19" t="n"/>
      <c r="O219" s="23">
        <f>IF(J219="","",H219+I219)</f>
        <v/>
      </c>
      <c r="P219" s="23">
        <f>IF(J219="","",J219-O219)</f>
        <v/>
      </c>
      <c r="Q219" s="24">
        <f>IF(OR(J219="",J219=0),"",P219/J219)</f>
        <v/>
      </c>
      <c r="R219" s="25">
        <f>IF(OR(A219="",B219=""),"",B219-A219)</f>
        <v/>
      </c>
      <c r="S219" s="26">
        <f>IF(B219="","",YEAR(B219))</f>
        <v/>
      </c>
      <c r="T219" s="27">
        <f>IF(B219="","",IF(OR(F219="Electric",F219="Plug-in",F219="Hibrid"),1,0))</f>
        <v/>
      </c>
    </row>
    <row r="220">
      <c r="A220" s="18" t="n"/>
      <c r="B220" s="18" t="n"/>
      <c r="C220" s="19" t="n"/>
      <c r="D220" s="19" t="n"/>
      <c r="E220" s="20" t="n"/>
      <c r="F220" s="19" t="n"/>
      <c r="G220" s="21" t="n"/>
      <c r="H220" s="22" t="n"/>
      <c r="I220" s="22" t="n"/>
      <c r="J220" s="22" t="n"/>
      <c r="K220" s="19" t="n"/>
      <c r="L220" s="19" t="n"/>
      <c r="M220" s="19" t="n"/>
      <c r="N220" s="19" t="n"/>
      <c r="O220" s="23">
        <f>IF(J220="","",H220+I220)</f>
        <v/>
      </c>
      <c r="P220" s="23">
        <f>IF(J220="","",J220-O220)</f>
        <v/>
      </c>
      <c r="Q220" s="24">
        <f>IF(OR(J220="",J220=0),"",P220/J220)</f>
        <v/>
      </c>
      <c r="R220" s="25">
        <f>IF(OR(A220="",B220=""),"",B220-A220)</f>
        <v/>
      </c>
      <c r="S220" s="26">
        <f>IF(B220="","",YEAR(B220))</f>
        <v/>
      </c>
      <c r="T220" s="27">
        <f>IF(B220="","",IF(OR(F220="Electric",F220="Plug-in",F220="Hibrid"),1,0))</f>
        <v/>
      </c>
    </row>
    <row r="221">
      <c r="A221" s="18" t="n"/>
      <c r="B221" s="18" t="n"/>
      <c r="C221" s="19" t="n"/>
      <c r="D221" s="19" t="n"/>
      <c r="E221" s="20" t="n"/>
      <c r="F221" s="19" t="n"/>
      <c r="G221" s="21" t="n"/>
      <c r="H221" s="22" t="n"/>
      <c r="I221" s="22" t="n"/>
      <c r="J221" s="22" t="n"/>
      <c r="K221" s="19" t="n"/>
      <c r="L221" s="19" t="n"/>
      <c r="M221" s="19" t="n"/>
      <c r="N221" s="19" t="n"/>
      <c r="O221" s="23">
        <f>IF(J221="","",H221+I221)</f>
        <v/>
      </c>
      <c r="P221" s="23">
        <f>IF(J221="","",J221-O221)</f>
        <v/>
      </c>
      <c r="Q221" s="24">
        <f>IF(OR(J221="",J221=0),"",P221/J221)</f>
        <v/>
      </c>
      <c r="R221" s="25">
        <f>IF(OR(A221="",B221=""),"",B221-A221)</f>
        <v/>
      </c>
      <c r="S221" s="26">
        <f>IF(B221="","",YEAR(B221))</f>
        <v/>
      </c>
      <c r="T221" s="27">
        <f>IF(B221="","",IF(OR(F221="Electric",F221="Plug-in",F221="Hibrid"),1,0))</f>
        <v/>
      </c>
    </row>
    <row r="222">
      <c r="A222" s="18" t="n"/>
      <c r="B222" s="18" t="n"/>
      <c r="C222" s="19" t="n"/>
      <c r="D222" s="19" t="n"/>
      <c r="E222" s="20" t="n"/>
      <c r="F222" s="19" t="n"/>
      <c r="G222" s="21" t="n"/>
      <c r="H222" s="22" t="n"/>
      <c r="I222" s="22" t="n"/>
      <c r="J222" s="22" t="n"/>
      <c r="K222" s="19" t="n"/>
      <c r="L222" s="19" t="n"/>
      <c r="M222" s="19" t="n"/>
      <c r="N222" s="19" t="n"/>
      <c r="O222" s="23">
        <f>IF(J222="","",H222+I222)</f>
        <v/>
      </c>
      <c r="P222" s="23">
        <f>IF(J222="","",J222-O222)</f>
        <v/>
      </c>
      <c r="Q222" s="24">
        <f>IF(OR(J222="",J222=0),"",P222/J222)</f>
        <v/>
      </c>
      <c r="R222" s="25">
        <f>IF(OR(A222="",B222=""),"",B222-A222)</f>
        <v/>
      </c>
      <c r="S222" s="26">
        <f>IF(B222="","",YEAR(B222))</f>
        <v/>
      </c>
      <c r="T222" s="27">
        <f>IF(B222="","",IF(OR(F222="Electric",F222="Plug-in",F222="Hibrid"),1,0))</f>
        <v/>
      </c>
    </row>
    <row r="223">
      <c r="A223" s="18" t="n"/>
      <c r="B223" s="18" t="n"/>
      <c r="C223" s="19" t="n"/>
      <c r="D223" s="19" t="n"/>
      <c r="E223" s="20" t="n"/>
      <c r="F223" s="19" t="n"/>
      <c r="G223" s="21" t="n"/>
      <c r="H223" s="22" t="n"/>
      <c r="I223" s="22" t="n"/>
      <c r="J223" s="22" t="n"/>
      <c r="K223" s="19" t="n"/>
      <c r="L223" s="19" t="n"/>
      <c r="M223" s="19" t="n"/>
      <c r="N223" s="19" t="n"/>
      <c r="O223" s="23">
        <f>IF(J223="","",H223+I223)</f>
        <v/>
      </c>
      <c r="P223" s="23">
        <f>IF(J223="","",J223-O223)</f>
        <v/>
      </c>
      <c r="Q223" s="24">
        <f>IF(OR(J223="",J223=0),"",P223/J223)</f>
        <v/>
      </c>
      <c r="R223" s="25">
        <f>IF(OR(A223="",B223=""),"",B223-A223)</f>
        <v/>
      </c>
      <c r="S223" s="26">
        <f>IF(B223="","",YEAR(B223))</f>
        <v/>
      </c>
      <c r="T223" s="27">
        <f>IF(B223="","",IF(OR(F223="Electric",F223="Plug-in",F223="Hibrid"),1,0))</f>
        <v/>
      </c>
    </row>
    <row r="224">
      <c r="A224" s="18" t="n"/>
      <c r="B224" s="18" t="n"/>
      <c r="C224" s="19" t="n"/>
      <c r="D224" s="19" t="n"/>
      <c r="E224" s="20" t="n"/>
      <c r="F224" s="19" t="n"/>
      <c r="G224" s="21" t="n"/>
      <c r="H224" s="22" t="n"/>
      <c r="I224" s="22" t="n"/>
      <c r="J224" s="22" t="n"/>
      <c r="K224" s="19" t="n"/>
      <c r="L224" s="19" t="n"/>
      <c r="M224" s="19" t="n"/>
      <c r="N224" s="19" t="n"/>
      <c r="O224" s="23">
        <f>IF(J224="","",H224+I224)</f>
        <v/>
      </c>
      <c r="P224" s="23">
        <f>IF(J224="","",J224-O224)</f>
        <v/>
      </c>
      <c r="Q224" s="24">
        <f>IF(OR(J224="",J224=0),"",P224/J224)</f>
        <v/>
      </c>
      <c r="R224" s="25">
        <f>IF(OR(A224="",B224=""),"",B224-A224)</f>
        <v/>
      </c>
      <c r="S224" s="26">
        <f>IF(B224="","",YEAR(B224))</f>
        <v/>
      </c>
      <c r="T224" s="27">
        <f>IF(B224="","",IF(OR(F224="Electric",F224="Plug-in",F224="Hibrid"),1,0))</f>
        <v/>
      </c>
    </row>
    <row r="225">
      <c r="A225" s="18" t="n"/>
      <c r="B225" s="18" t="n"/>
      <c r="C225" s="19" t="n"/>
      <c r="D225" s="19" t="n"/>
      <c r="E225" s="20" t="n"/>
      <c r="F225" s="19" t="n"/>
      <c r="G225" s="21" t="n"/>
      <c r="H225" s="22" t="n"/>
      <c r="I225" s="22" t="n"/>
      <c r="J225" s="22" t="n"/>
      <c r="K225" s="19" t="n"/>
      <c r="L225" s="19" t="n"/>
      <c r="M225" s="19" t="n"/>
      <c r="N225" s="19" t="n"/>
      <c r="O225" s="23">
        <f>IF(J225="","",H225+I225)</f>
        <v/>
      </c>
      <c r="P225" s="23">
        <f>IF(J225="","",J225-O225)</f>
        <v/>
      </c>
      <c r="Q225" s="24">
        <f>IF(OR(J225="",J225=0),"",P225/J225)</f>
        <v/>
      </c>
      <c r="R225" s="25">
        <f>IF(OR(A225="",B225=""),"",B225-A225)</f>
        <v/>
      </c>
      <c r="S225" s="26">
        <f>IF(B225="","",YEAR(B225))</f>
        <v/>
      </c>
      <c r="T225" s="27">
        <f>IF(B225="","",IF(OR(F225="Electric",F225="Plug-in",F225="Hibrid"),1,0))</f>
        <v/>
      </c>
    </row>
    <row r="226">
      <c r="A226" s="18" t="n"/>
      <c r="B226" s="18" t="n"/>
      <c r="C226" s="19" t="n"/>
      <c r="D226" s="19" t="n"/>
      <c r="E226" s="20" t="n"/>
      <c r="F226" s="19" t="n"/>
      <c r="G226" s="21" t="n"/>
      <c r="H226" s="22" t="n"/>
      <c r="I226" s="22" t="n"/>
      <c r="J226" s="22" t="n"/>
      <c r="K226" s="19" t="n"/>
      <c r="L226" s="19" t="n"/>
      <c r="M226" s="19" t="n"/>
      <c r="N226" s="19" t="n"/>
      <c r="O226" s="23">
        <f>IF(J226="","",H226+I226)</f>
        <v/>
      </c>
      <c r="P226" s="23">
        <f>IF(J226="","",J226-O226)</f>
        <v/>
      </c>
      <c r="Q226" s="24">
        <f>IF(OR(J226="",J226=0),"",P226/J226)</f>
        <v/>
      </c>
      <c r="R226" s="25">
        <f>IF(OR(A226="",B226=""),"",B226-A226)</f>
        <v/>
      </c>
      <c r="S226" s="26">
        <f>IF(B226="","",YEAR(B226))</f>
        <v/>
      </c>
      <c r="T226" s="27">
        <f>IF(B226="","",IF(OR(F226="Electric",F226="Plug-in",F226="Hibrid"),1,0))</f>
        <v/>
      </c>
    </row>
    <row r="227">
      <c r="A227" s="18" t="n"/>
      <c r="B227" s="18" t="n"/>
      <c r="C227" s="19" t="n"/>
      <c r="D227" s="19" t="n"/>
      <c r="E227" s="20" t="n"/>
      <c r="F227" s="19" t="n"/>
      <c r="G227" s="21" t="n"/>
      <c r="H227" s="22" t="n"/>
      <c r="I227" s="22" t="n"/>
      <c r="J227" s="22" t="n"/>
      <c r="K227" s="19" t="n"/>
      <c r="L227" s="19" t="n"/>
      <c r="M227" s="19" t="n"/>
      <c r="N227" s="19" t="n"/>
      <c r="O227" s="23">
        <f>IF(J227="","",H227+I227)</f>
        <v/>
      </c>
      <c r="P227" s="23">
        <f>IF(J227="","",J227-O227)</f>
        <v/>
      </c>
      <c r="Q227" s="24">
        <f>IF(OR(J227="",J227=0),"",P227/J227)</f>
        <v/>
      </c>
      <c r="R227" s="25">
        <f>IF(OR(A227="",B227=""),"",B227-A227)</f>
        <v/>
      </c>
      <c r="S227" s="26">
        <f>IF(B227="","",YEAR(B227))</f>
        <v/>
      </c>
      <c r="T227" s="27">
        <f>IF(B227="","",IF(OR(F227="Electric",F227="Plug-in",F227="Hibrid"),1,0))</f>
        <v/>
      </c>
    </row>
    <row r="228">
      <c r="A228" s="18" t="n"/>
      <c r="B228" s="18" t="n"/>
      <c r="C228" s="19" t="n"/>
      <c r="D228" s="19" t="n"/>
      <c r="E228" s="20" t="n"/>
      <c r="F228" s="19" t="n"/>
      <c r="G228" s="21" t="n"/>
      <c r="H228" s="22" t="n"/>
      <c r="I228" s="22" t="n"/>
      <c r="J228" s="22" t="n"/>
      <c r="K228" s="19" t="n"/>
      <c r="L228" s="19" t="n"/>
      <c r="M228" s="19" t="n"/>
      <c r="N228" s="19" t="n"/>
      <c r="O228" s="23">
        <f>IF(J228="","",H228+I228)</f>
        <v/>
      </c>
      <c r="P228" s="23">
        <f>IF(J228="","",J228-O228)</f>
        <v/>
      </c>
      <c r="Q228" s="24">
        <f>IF(OR(J228="",J228=0),"",P228/J228)</f>
        <v/>
      </c>
      <c r="R228" s="25">
        <f>IF(OR(A228="",B228=""),"",B228-A228)</f>
        <v/>
      </c>
      <c r="S228" s="26">
        <f>IF(B228="","",YEAR(B228))</f>
        <v/>
      </c>
      <c r="T228" s="27">
        <f>IF(B228="","",IF(OR(F228="Electric",F228="Plug-in",F228="Hibrid"),1,0))</f>
        <v/>
      </c>
    </row>
    <row r="229">
      <c r="A229" s="18" t="n"/>
      <c r="B229" s="18" t="n"/>
      <c r="C229" s="19" t="n"/>
      <c r="D229" s="19" t="n"/>
      <c r="E229" s="20" t="n"/>
      <c r="F229" s="19" t="n"/>
      <c r="G229" s="21" t="n"/>
      <c r="H229" s="22" t="n"/>
      <c r="I229" s="22" t="n"/>
      <c r="J229" s="22" t="n"/>
      <c r="K229" s="19" t="n"/>
      <c r="L229" s="19" t="n"/>
      <c r="M229" s="19" t="n"/>
      <c r="N229" s="19" t="n"/>
      <c r="O229" s="23">
        <f>IF(J229="","",H229+I229)</f>
        <v/>
      </c>
      <c r="P229" s="23">
        <f>IF(J229="","",J229-O229)</f>
        <v/>
      </c>
      <c r="Q229" s="24">
        <f>IF(OR(J229="",J229=0),"",P229/J229)</f>
        <v/>
      </c>
      <c r="R229" s="25">
        <f>IF(OR(A229="",B229=""),"",B229-A229)</f>
        <v/>
      </c>
      <c r="S229" s="26">
        <f>IF(B229="","",YEAR(B229))</f>
        <v/>
      </c>
      <c r="T229" s="27">
        <f>IF(B229="","",IF(OR(F229="Electric",F229="Plug-in",F229="Hibrid"),1,0))</f>
        <v/>
      </c>
    </row>
    <row r="230">
      <c r="A230" s="18" t="n"/>
      <c r="B230" s="18" t="n"/>
      <c r="C230" s="19" t="n"/>
      <c r="D230" s="19" t="n"/>
      <c r="E230" s="20" t="n"/>
      <c r="F230" s="19" t="n"/>
      <c r="G230" s="21" t="n"/>
      <c r="H230" s="22" t="n"/>
      <c r="I230" s="22" t="n"/>
      <c r="J230" s="22" t="n"/>
      <c r="K230" s="19" t="n"/>
      <c r="L230" s="19" t="n"/>
      <c r="M230" s="19" t="n"/>
      <c r="N230" s="19" t="n"/>
      <c r="O230" s="23">
        <f>IF(J230="","",H230+I230)</f>
        <v/>
      </c>
      <c r="P230" s="23">
        <f>IF(J230="","",J230-O230)</f>
        <v/>
      </c>
      <c r="Q230" s="24">
        <f>IF(OR(J230="",J230=0),"",P230/J230)</f>
        <v/>
      </c>
      <c r="R230" s="25">
        <f>IF(OR(A230="",B230=""),"",B230-A230)</f>
        <v/>
      </c>
      <c r="S230" s="26">
        <f>IF(B230="","",YEAR(B230))</f>
        <v/>
      </c>
      <c r="T230" s="27">
        <f>IF(B230="","",IF(OR(F230="Electric",F230="Plug-in",F230="Hibrid"),1,0))</f>
        <v/>
      </c>
    </row>
    <row r="231">
      <c r="A231" s="18" t="n"/>
      <c r="B231" s="18" t="n"/>
      <c r="C231" s="19" t="n"/>
      <c r="D231" s="19" t="n"/>
      <c r="E231" s="20" t="n"/>
      <c r="F231" s="19" t="n"/>
      <c r="G231" s="21" t="n"/>
      <c r="H231" s="22" t="n"/>
      <c r="I231" s="22" t="n"/>
      <c r="J231" s="22" t="n"/>
      <c r="K231" s="19" t="n"/>
      <c r="L231" s="19" t="n"/>
      <c r="M231" s="19" t="n"/>
      <c r="N231" s="19" t="n"/>
      <c r="O231" s="23">
        <f>IF(J231="","",H231+I231)</f>
        <v/>
      </c>
      <c r="P231" s="23">
        <f>IF(J231="","",J231-O231)</f>
        <v/>
      </c>
      <c r="Q231" s="24">
        <f>IF(OR(J231="",J231=0),"",P231/J231)</f>
        <v/>
      </c>
      <c r="R231" s="25">
        <f>IF(OR(A231="",B231=""),"",B231-A231)</f>
        <v/>
      </c>
      <c r="S231" s="26">
        <f>IF(B231="","",YEAR(B231))</f>
        <v/>
      </c>
      <c r="T231" s="27">
        <f>IF(B231="","",IF(OR(F231="Electric",F231="Plug-in",F231="Hibrid"),1,0))</f>
        <v/>
      </c>
    </row>
    <row r="232">
      <c r="A232" s="18" t="n"/>
      <c r="B232" s="18" t="n"/>
      <c r="C232" s="19" t="n"/>
      <c r="D232" s="19" t="n"/>
      <c r="E232" s="20" t="n"/>
      <c r="F232" s="19" t="n"/>
      <c r="G232" s="21" t="n"/>
      <c r="H232" s="22" t="n"/>
      <c r="I232" s="22" t="n"/>
      <c r="J232" s="22" t="n"/>
      <c r="K232" s="19" t="n"/>
      <c r="L232" s="19" t="n"/>
      <c r="M232" s="19" t="n"/>
      <c r="N232" s="19" t="n"/>
      <c r="O232" s="23">
        <f>IF(J232="","",H232+I232)</f>
        <v/>
      </c>
      <c r="P232" s="23">
        <f>IF(J232="","",J232-O232)</f>
        <v/>
      </c>
      <c r="Q232" s="24">
        <f>IF(OR(J232="",J232=0),"",P232/J232)</f>
        <v/>
      </c>
      <c r="R232" s="25">
        <f>IF(OR(A232="",B232=""),"",B232-A232)</f>
        <v/>
      </c>
      <c r="S232" s="26">
        <f>IF(B232="","",YEAR(B232))</f>
        <v/>
      </c>
      <c r="T232" s="27">
        <f>IF(B232="","",IF(OR(F232="Electric",F232="Plug-in",F232="Hibrid"),1,0))</f>
        <v/>
      </c>
    </row>
    <row r="233">
      <c r="A233" s="18" t="n"/>
      <c r="B233" s="18" t="n"/>
      <c r="C233" s="19" t="n"/>
      <c r="D233" s="19" t="n"/>
      <c r="E233" s="20" t="n"/>
      <c r="F233" s="19" t="n"/>
      <c r="G233" s="21" t="n"/>
      <c r="H233" s="22" t="n"/>
      <c r="I233" s="22" t="n"/>
      <c r="J233" s="22" t="n"/>
      <c r="K233" s="19" t="n"/>
      <c r="L233" s="19" t="n"/>
      <c r="M233" s="19" t="n"/>
      <c r="N233" s="19" t="n"/>
      <c r="O233" s="23">
        <f>IF(J233="","",H233+I233)</f>
        <v/>
      </c>
      <c r="P233" s="23">
        <f>IF(J233="","",J233-O233)</f>
        <v/>
      </c>
      <c r="Q233" s="24">
        <f>IF(OR(J233="",J233=0),"",P233/J233)</f>
        <v/>
      </c>
      <c r="R233" s="25">
        <f>IF(OR(A233="",B233=""),"",B233-A233)</f>
        <v/>
      </c>
      <c r="S233" s="26">
        <f>IF(B233="","",YEAR(B233))</f>
        <v/>
      </c>
      <c r="T233" s="27">
        <f>IF(B233="","",IF(OR(F233="Electric",F233="Plug-in",F233="Hibrid"),1,0))</f>
        <v/>
      </c>
    </row>
    <row r="234">
      <c r="A234" s="18" t="n"/>
      <c r="B234" s="18" t="n"/>
      <c r="C234" s="19" t="n"/>
      <c r="D234" s="19" t="n"/>
      <c r="E234" s="20" t="n"/>
      <c r="F234" s="19" t="n"/>
      <c r="G234" s="21" t="n"/>
      <c r="H234" s="22" t="n"/>
      <c r="I234" s="22" t="n"/>
      <c r="J234" s="22" t="n"/>
      <c r="K234" s="19" t="n"/>
      <c r="L234" s="19" t="n"/>
      <c r="M234" s="19" t="n"/>
      <c r="N234" s="19" t="n"/>
      <c r="O234" s="23">
        <f>IF(J234="","",H234+I234)</f>
        <v/>
      </c>
      <c r="P234" s="23">
        <f>IF(J234="","",J234-O234)</f>
        <v/>
      </c>
      <c r="Q234" s="24">
        <f>IF(OR(J234="",J234=0),"",P234/J234)</f>
        <v/>
      </c>
      <c r="R234" s="25">
        <f>IF(OR(A234="",B234=""),"",B234-A234)</f>
        <v/>
      </c>
      <c r="S234" s="26">
        <f>IF(B234="","",YEAR(B234))</f>
        <v/>
      </c>
      <c r="T234" s="27">
        <f>IF(B234="","",IF(OR(F234="Electric",F234="Plug-in",F234="Hibrid"),1,0))</f>
        <v/>
      </c>
    </row>
    <row r="235">
      <c r="A235" s="18" t="n"/>
      <c r="B235" s="18" t="n"/>
      <c r="C235" s="19" t="n"/>
      <c r="D235" s="19" t="n"/>
      <c r="E235" s="20" t="n"/>
      <c r="F235" s="19" t="n"/>
      <c r="G235" s="21" t="n"/>
      <c r="H235" s="22" t="n"/>
      <c r="I235" s="22" t="n"/>
      <c r="J235" s="22" t="n"/>
      <c r="K235" s="19" t="n"/>
      <c r="L235" s="19" t="n"/>
      <c r="M235" s="19" t="n"/>
      <c r="N235" s="19" t="n"/>
      <c r="O235" s="23">
        <f>IF(J235="","",H235+I235)</f>
        <v/>
      </c>
      <c r="P235" s="23">
        <f>IF(J235="","",J235-O235)</f>
        <v/>
      </c>
      <c r="Q235" s="24">
        <f>IF(OR(J235="",J235=0),"",P235/J235)</f>
        <v/>
      </c>
      <c r="R235" s="25">
        <f>IF(OR(A235="",B235=""),"",B235-A235)</f>
        <v/>
      </c>
      <c r="S235" s="26">
        <f>IF(B235="","",YEAR(B235))</f>
        <v/>
      </c>
      <c r="T235" s="27">
        <f>IF(B235="","",IF(OR(F235="Electric",F235="Plug-in",F235="Hibrid"),1,0))</f>
        <v/>
      </c>
    </row>
    <row r="236">
      <c r="A236" s="18" t="n"/>
      <c r="B236" s="18" t="n"/>
      <c r="C236" s="19" t="n"/>
      <c r="D236" s="19" t="n"/>
      <c r="E236" s="20" t="n"/>
      <c r="F236" s="19" t="n"/>
      <c r="G236" s="21" t="n"/>
      <c r="H236" s="22" t="n"/>
      <c r="I236" s="22" t="n"/>
      <c r="J236" s="22" t="n"/>
      <c r="K236" s="19" t="n"/>
      <c r="L236" s="19" t="n"/>
      <c r="M236" s="19" t="n"/>
      <c r="N236" s="19" t="n"/>
      <c r="O236" s="23">
        <f>IF(J236="","",H236+I236)</f>
        <v/>
      </c>
      <c r="P236" s="23">
        <f>IF(J236="","",J236-O236)</f>
        <v/>
      </c>
      <c r="Q236" s="24">
        <f>IF(OR(J236="",J236=0),"",P236/J236)</f>
        <v/>
      </c>
      <c r="R236" s="25">
        <f>IF(OR(A236="",B236=""),"",B236-A236)</f>
        <v/>
      </c>
      <c r="S236" s="26">
        <f>IF(B236="","",YEAR(B236))</f>
        <v/>
      </c>
      <c r="T236" s="27">
        <f>IF(B236="","",IF(OR(F236="Electric",F236="Plug-in",F236="Hibrid"),1,0))</f>
        <v/>
      </c>
    </row>
    <row r="237">
      <c r="A237" s="18" t="n"/>
      <c r="B237" s="18" t="n"/>
      <c r="C237" s="19" t="n"/>
      <c r="D237" s="19" t="n"/>
      <c r="E237" s="20" t="n"/>
      <c r="F237" s="19" t="n"/>
      <c r="G237" s="21" t="n"/>
      <c r="H237" s="22" t="n"/>
      <c r="I237" s="22" t="n"/>
      <c r="J237" s="22" t="n"/>
      <c r="K237" s="19" t="n"/>
      <c r="L237" s="19" t="n"/>
      <c r="M237" s="19" t="n"/>
      <c r="N237" s="19" t="n"/>
      <c r="O237" s="23">
        <f>IF(J237="","",H237+I237)</f>
        <v/>
      </c>
      <c r="P237" s="23">
        <f>IF(J237="","",J237-O237)</f>
        <v/>
      </c>
      <c r="Q237" s="24">
        <f>IF(OR(J237="",J237=0),"",P237/J237)</f>
        <v/>
      </c>
      <c r="R237" s="25">
        <f>IF(OR(A237="",B237=""),"",B237-A237)</f>
        <v/>
      </c>
      <c r="S237" s="26">
        <f>IF(B237="","",YEAR(B237))</f>
        <v/>
      </c>
      <c r="T237" s="27">
        <f>IF(B237="","",IF(OR(F237="Electric",F237="Plug-in",F237="Hibrid"),1,0))</f>
        <v/>
      </c>
    </row>
    <row r="238">
      <c r="A238" s="18" t="n"/>
      <c r="B238" s="18" t="n"/>
      <c r="C238" s="19" t="n"/>
      <c r="D238" s="19" t="n"/>
      <c r="E238" s="20" t="n"/>
      <c r="F238" s="19" t="n"/>
      <c r="G238" s="21" t="n"/>
      <c r="H238" s="22" t="n"/>
      <c r="I238" s="22" t="n"/>
      <c r="J238" s="22" t="n"/>
      <c r="K238" s="19" t="n"/>
      <c r="L238" s="19" t="n"/>
      <c r="M238" s="19" t="n"/>
      <c r="N238" s="19" t="n"/>
      <c r="O238" s="23">
        <f>IF(J238="","",H238+I238)</f>
        <v/>
      </c>
      <c r="P238" s="23">
        <f>IF(J238="","",J238-O238)</f>
        <v/>
      </c>
      <c r="Q238" s="24">
        <f>IF(OR(J238="",J238=0),"",P238/J238)</f>
        <v/>
      </c>
      <c r="R238" s="25">
        <f>IF(OR(A238="",B238=""),"",B238-A238)</f>
        <v/>
      </c>
      <c r="S238" s="26">
        <f>IF(B238="","",YEAR(B238))</f>
        <v/>
      </c>
      <c r="T238" s="27">
        <f>IF(B238="","",IF(OR(F238="Electric",F238="Plug-in",F238="Hibrid"),1,0))</f>
        <v/>
      </c>
    </row>
    <row r="239">
      <c r="A239" s="18" t="n"/>
      <c r="B239" s="18" t="n"/>
      <c r="C239" s="19" t="n"/>
      <c r="D239" s="19" t="n"/>
      <c r="E239" s="20" t="n"/>
      <c r="F239" s="19" t="n"/>
      <c r="G239" s="21" t="n"/>
      <c r="H239" s="22" t="n"/>
      <c r="I239" s="22" t="n"/>
      <c r="J239" s="22" t="n"/>
      <c r="K239" s="19" t="n"/>
      <c r="L239" s="19" t="n"/>
      <c r="M239" s="19" t="n"/>
      <c r="N239" s="19" t="n"/>
      <c r="O239" s="23">
        <f>IF(J239="","",H239+I239)</f>
        <v/>
      </c>
      <c r="P239" s="23">
        <f>IF(J239="","",J239-O239)</f>
        <v/>
      </c>
      <c r="Q239" s="24">
        <f>IF(OR(J239="",J239=0),"",P239/J239)</f>
        <v/>
      </c>
      <c r="R239" s="25">
        <f>IF(OR(A239="",B239=""),"",B239-A239)</f>
        <v/>
      </c>
      <c r="S239" s="26">
        <f>IF(B239="","",YEAR(B239))</f>
        <v/>
      </c>
      <c r="T239" s="27">
        <f>IF(B239="","",IF(OR(F239="Electric",F239="Plug-in",F239="Hibrid"),1,0))</f>
        <v/>
      </c>
    </row>
    <row r="240">
      <c r="A240" s="18" t="n"/>
      <c r="B240" s="18" t="n"/>
      <c r="C240" s="19" t="n"/>
      <c r="D240" s="19" t="n"/>
      <c r="E240" s="20" t="n"/>
      <c r="F240" s="19" t="n"/>
      <c r="G240" s="21" t="n"/>
      <c r="H240" s="22" t="n"/>
      <c r="I240" s="22" t="n"/>
      <c r="J240" s="22" t="n"/>
      <c r="K240" s="19" t="n"/>
      <c r="L240" s="19" t="n"/>
      <c r="M240" s="19" t="n"/>
      <c r="N240" s="19" t="n"/>
      <c r="O240" s="23">
        <f>IF(J240="","",H240+I240)</f>
        <v/>
      </c>
      <c r="P240" s="23">
        <f>IF(J240="","",J240-O240)</f>
        <v/>
      </c>
      <c r="Q240" s="24">
        <f>IF(OR(J240="",J240=0),"",P240/J240)</f>
        <v/>
      </c>
      <c r="R240" s="25">
        <f>IF(OR(A240="",B240=""),"",B240-A240)</f>
        <v/>
      </c>
      <c r="S240" s="26">
        <f>IF(B240="","",YEAR(B240))</f>
        <v/>
      </c>
      <c r="T240" s="27">
        <f>IF(B240="","",IF(OR(F240="Electric",F240="Plug-in",F240="Hibrid"),1,0))</f>
        <v/>
      </c>
    </row>
    <row r="241">
      <c r="A241" s="18" t="n"/>
      <c r="B241" s="18" t="n"/>
      <c r="C241" s="19" t="n"/>
      <c r="D241" s="19" t="n"/>
      <c r="E241" s="20" t="n"/>
      <c r="F241" s="19" t="n"/>
      <c r="G241" s="21" t="n"/>
      <c r="H241" s="22" t="n"/>
      <c r="I241" s="22" t="n"/>
      <c r="J241" s="22" t="n"/>
      <c r="K241" s="19" t="n"/>
      <c r="L241" s="19" t="n"/>
      <c r="M241" s="19" t="n"/>
      <c r="N241" s="19" t="n"/>
      <c r="O241" s="23">
        <f>IF(J241="","",H241+I241)</f>
        <v/>
      </c>
      <c r="P241" s="23">
        <f>IF(J241="","",J241-O241)</f>
        <v/>
      </c>
      <c r="Q241" s="24">
        <f>IF(OR(J241="",J241=0),"",P241/J241)</f>
        <v/>
      </c>
      <c r="R241" s="25">
        <f>IF(OR(A241="",B241=""),"",B241-A241)</f>
        <v/>
      </c>
      <c r="S241" s="26">
        <f>IF(B241="","",YEAR(B241))</f>
        <v/>
      </c>
      <c r="T241" s="27">
        <f>IF(B241="","",IF(OR(F241="Electric",F241="Plug-in",F241="Hibrid"),1,0))</f>
        <v/>
      </c>
    </row>
    <row r="242">
      <c r="A242" s="18" t="n"/>
      <c r="B242" s="18" t="n"/>
      <c r="C242" s="19" t="n"/>
      <c r="D242" s="19" t="n"/>
      <c r="E242" s="20" t="n"/>
      <c r="F242" s="19" t="n"/>
      <c r="G242" s="21" t="n"/>
      <c r="H242" s="22" t="n"/>
      <c r="I242" s="22" t="n"/>
      <c r="J242" s="22" t="n"/>
      <c r="K242" s="19" t="n"/>
      <c r="L242" s="19" t="n"/>
      <c r="M242" s="19" t="n"/>
      <c r="N242" s="19" t="n"/>
      <c r="O242" s="23">
        <f>IF(J242="","",H242+I242)</f>
        <v/>
      </c>
      <c r="P242" s="23">
        <f>IF(J242="","",J242-O242)</f>
        <v/>
      </c>
      <c r="Q242" s="24">
        <f>IF(OR(J242="",J242=0),"",P242/J242)</f>
        <v/>
      </c>
      <c r="R242" s="25">
        <f>IF(OR(A242="",B242=""),"",B242-A242)</f>
        <v/>
      </c>
      <c r="S242" s="26">
        <f>IF(B242="","",YEAR(B242))</f>
        <v/>
      </c>
      <c r="T242" s="27">
        <f>IF(B242="","",IF(OR(F242="Electric",F242="Plug-in",F242="Hibrid"),1,0))</f>
        <v/>
      </c>
    </row>
    <row r="243">
      <c r="A243" s="18" t="n"/>
      <c r="B243" s="18" t="n"/>
      <c r="C243" s="19" t="n"/>
      <c r="D243" s="19" t="n"/>
      <c r="E243" s="20" t="n"/>
      <c r="F243" s="19" t="n"/>
      <c r="G243" s="21" t="n"/>
      <c r="H243" s="22" t="n"/>
      <c r="I243" s="22" t="n"/>
      <c r="J243" s="22" t="n"/>
      <c r="K243" s="19" t="n"/>
      <c r="L243" s="19" t="n"/>
      <c r="M243" s="19" t="n"/>
      <c r="N243" s="19" t="n"/>
      <c r="O243" s="23">
        <f>IF(J243="","",H243+I243)</f>
        <v/>
      </c>
      <c r="P243" s="23">
        <f>IF(J243="","",J243-O243)</f>
        <v/>
      </c>
      <c r="Q243" s="24">
        <f>IF(OR(J243="",J243=0),"",P243/J243)</f>
        <v/>
      </c>
      <c r="R243" s="25">
        <f>IF(OR(A243="",B243=""),"",B243-A243)</f>
        <v/>
      </c>
      <c r="S243" s="26">
        <f>IF(B243="","",YEAR(B243))</f>
        <v/>
      </c>
      <c r="T243" s="27">
        <f>IF(B243="","",IF(OR(F243="Electric",F243="Plug-in",F243="Hibrid"),1,0))</f>
        <v/>
      </c>
    </row>
    <row r="244">
      <c r="A244" s="18" t="n"/>
      <c r="B244" s="18" t="n"/>
      <c r="C244" s="19" t="n"/>
      <c r="D244" s="19" t="n"/>
      <c r="E244" s="20" t="n"/>
      <c r="F244" s="19" t="n"/>
      <c r="G244" s="21" t="n"/>
      <c r="H244" s="22" t="n"/>
      <c r="I244" s="22" t="n"/>
      <c r="J244" s="22" t="n"/>
      <c r="K244" s="19" t="n"/>
      <c r="L244" s="19" t="n"/>
      <c r="M244" s="19" t="n"/>
      <c r="N244" s="19" t="n"/>
      <c r="O244" s="23">
        <f>IF(J244="","",H244+I244)</f>
        <v/>
      </c>
      <c r="P244" s="23">
        <f>IF(J244="","",J244-O244)</f>
        <v/>
      </c>
      <c r="Q244" s="24">
        <f>IF(OR(J244="",J244=0),"",P244/J244)</f>
        <v/>
      </c>
      <c r="R244" s="25">
        <f>IF(OR(A244="",B244=""),"",B244-A244)</f>
        <v/>
      </c>
      <c r="S244" s="26">
        <f>IF(B244="","",YEAR(B244))</f>
        <v/>
      </c>
      <c r="T244" s="27">
        <f>IF(B244="","",IF(OR(F244="Electric",F244="Plug-in",F244="Hibrid"),1,0))</f>
        <v/>
      </c>
    </row>
    <row r="245">
      <c r="A245" s="18" t="n"/>
      <c r="B245" s="18" t="n"/>
      <c r="C245" s="19" t="n"/>
      <c r="D245" s="19" t="n"/>
      <c r="E245" s="20" t="n"/>
      <c r="F245" s="19" t="n"/>
      <c r="G245" s="21" t="n"/>
      <c r="H245" s="22" t="n"/>
      <c r="I245" s="22" t="n"/>
      <c r="J245" s="22" t="n"/>
      <c r="K245" s="19" t="n"/>
      <c r="L245" s="19" t="n"/>
      <c r="M245" s="19" t="n"/>
      <c r="N245" s="19" t="n"/>
      <c r="O245" s="23">
        <f>IF(J245="","",H245+I245)</f>
        <v/>
      </c>
      <c r="P245" s="23">
        <f>IF(J245="","",J245-O245)</f>
        <v/>
      </c>
      <c r="Q245" s="24">
        <f>IF(OR(J245="",J245=0),"",P245/J245)</f>
        <v/>
      </c>
      <c r="R245" s="25">
        <f>IF(OR(A245="",B245=""),"",B245-A245)</f>
        <v/>
      </c>
      <c r="S245" s="26">
        <f>IF(B245="","",YEAR(B245))</f>
        <v/>
      </c>
      <c r="T245" s="27">
        <f>IF(B245="","",IF(OR(F245="Electric",F245="Plug-in",F245="Hibrid"),1,0))</f>
        <v/>
      </c>
    </row>
    <row r="246">
      <c r="A246" s="18" t="n"/>
      <c r="B246" s="18" t="n"/>
      <c r="C246" s="19" t="n"/>
      <c r="D246" s="19" t="n"/>
      <c r="E246" s="20" t="n"/>
      <c r="F246" s="19" t="n"/>
      <c r="G246" s="21" t="n"/>
      <c r="H246" s="22" t="n"/>
      <c r="I246" s="22" t="n"/>
      <c r="J246" s="22" t="n"/>
      <c r="K246" s="19" t="n"/>
      <c r="L246" s="19" t="n"/>
      <c r="M246" s="19" t="n"/>
      <c r="N246" s="19" t="n"/>
      <c r="O246" s="23">
        <f>IF(J246="","",H246+I246)</f>
        <v/>
      </c>
      <c r="P246" s="23">
        <f>IF(J246="","",J246-O246)</f>
        <v/>
      </c>
      <c r="Q246" s="24">
        <f>IF(OR(J246="",J246=0),"",P246/J246)</f>
        <v/>
      </c>
      <c r="R246" s="25">
        <f>IF(OR(A246="",B246=""),"",B246-A246)</f>
        <v/>
      </c>
      <c r="S246" s="26">
        <f>IF(B246="","",YEAR(B246))</f>
        <v/>
      </c>
      <c r="T246" s="27">
        <f>IF(B246="","",IF(OR(F246="Electric",F246="Plug-in",F246="Hibrid"),1,0))</f>
        <v/>
      </c>
    </row>
    <row r="247">
      <c r="A247" s="18" t="n"/>
      <c r="B247" s="18" t="n"/>
      <c r="C247" s="19" t="n"/>
      <c r="D247" s="19" t="n"/>
      <c r="E247" s="20" t="n"/>
      <c r="F247" s="19" t="n"/>
      <c r="G247" s="21" t="n"/>
      <c r="H247" s="22" t="n"/>
      <c r="I247" s="22" t="n"/>
      <c r="J247" s="22" t="n"/>
      <c r="K247" s="19" t="n"/>
      <c r="L247" s="19" t="n"/>
      <c r="M247" s="19" t="n"/>
      <c r="N247" s="19" t="n"/>
      <c r="O247" s="23">
        <f>IF(J247="","",H247+I247)</f>
        <v/>
      </c>
      <c r="P247" s="23">
        <f>IF(J247="","",J247-O247)</f>
        <v/>
      </c>
      <c r="Q247" s="24">
        <f>IF(OR(J247="",J247=0),"",P247/J247)</f>
        <v/>
      </c>
      <c r="R247" s="25">
        <f>IF(OR(A247="",B247=""),"",B247-A247)</f>
        <v/>
      </c>
      <c r="S247" s="26">
        <f>IF(B247="","",YEAR(B247))</f>
        <v/>
      </c>
      <c r="T247" s="27">
        <f>IF(B247="","",IF(OR(F247="Electric",F247="Plug-in",F247="Hibrid"),1,0))</f>
        <v/>
      </c>
    </row>
    <row r="248">
      <c r="A248" s="18" t="n"/>
      <c r="B248" s="18" t="n"/>
      <c r="C248" s="19" t="n"/>
      <c r="D248" s="19" t="n"/>
      <c r="E248" s="20" t="n"/>
      <c r="F248" s="19" t="n"/>
      <c r="G248" s="21" t="n"/>
      <c r="H248" s="22" t="n"/>
      <c r="I248" s="22" t="n"/>
      <c r="J248" s="22" t="n"/>
      <c r="K248" s="19" t="n"/>
      <c r="L248" s="19" t="n"/>
      <c r="M248" s="19" t="n"/>
      <c r="N248" s="19" t="n"/>
      <c r="O248" s="23">
        <f>IF(J248="","",H248+I248)</f>
        <v/>
      </c>
      <c r="P248" s="23">
        <f>IF(J248="","",J248-O248)</f>
        <v/>
      </c>
      <c r="Q248" s="24">
        <f>IF(OR(J248="",J248=0),"",P248/J248)</f>
        <v/>
      </c>
      <c r="R248" s="25">
        <f>IF(OR(A248="",B248=""),"",B248-A248)</f>
        <v/>
      </c>
      <c r="S248" s="26">
        <f>IF(B248="","",YEAR(B248))</f>
        <v/>
      </c>
      <c r="T248" s="27">
        <f>IF(B248="","",IF(OR(F248="Electric",F248="Plug-in",F248="Hibrid"),1,0))</f>
        <v/>
      </c>
    </row>
    <row r="249">
      <c r="A249" s="18" t="n"/>
      <c r="B249" s="18" t="n"/>
      <c r="C249" s="19" t="n"/>
      <c r="D249" s="19" t="n"/>
      <c r="E249" s="20" t="n"/>
      <c r="F249" s="19" t="n"/>
      <c r="G249" s="21" t="n"/>
      <c r="H249" s="22" t="n"/>
      <c r="I249" s="22" t="n"/>
      <c r="J249" s="22" t="n"/>
      <c r="K249" s="19" t="n"/>
      <c r="L249" s="19" t="n"/>
      <c r="M249" s="19" t="n"/>
      <c r="N249" s="19" t="n"/>
      <c r="O249" s="23">
        <f>IF(J249="","",H249+I249)</f>
        <v/>
      </c>
      <c r="P249" s="23">
        <f>IF(J249="","",J249-O249)</f>
        <v/>
      </c>
      <c r="Q249" s="24">
        <f>IF(OR(J249="",J249=0),"",P249/J249)</f>
        <v/>
      </c>
      <c r="R249" s="25">
        <f>IF(OR(A249="",B249=""),"",B249-A249)</f>
        <v/>
      </c>
      <c r="S249" s="26">
        <f>IF(B249="","",YEAR(B249))</f>
        <v/>
      </c>
      <c r="T249" s="27">
        <f>IF(B249="","",IF(OR(F249="Electric",F249="Plug-in",F249="Hibrid"),1,0))</f>
        <v/>
      </c>
    </row>
    <row r="250">
      <c r="A250" s="18" t="n"/>
      <c r="B250" s="18" t="n"/>
      <c r="C250" s="19" t="n"/>
      <c r="D250" s="19" t="n"/>
      <c r="E250" s="20" t="n"/>
      <c r="F250" s="19" t="n"/>
      <c r="G250" s="21" t="n"/>
      <c r="H250" s="22" t="n"/>
      <c r="I250" s="22" t="n"/>
      <c r="J250" s="22" t="n"/>
      <c r="K250" s="19" t="n"/>
      <c r="L250" s="19" t="n"/>
      <c r="M250" s="19" t="n"/>
      <c r="N250" s="19" t="n"/>
      <c r="O250" s="23">
        <f>IF(J250="","",H250+I250)</f>
        <v/>
      </c>
      <c r="P250" s="23">
        <f>IF(J250="","",J250-O250)</f>
        <v/>
      </c>
      <c r="Q250" s="24">
        <f>IF(OR(J250="",J250=0),"",P250/J250)</f>
        <v/>
      </c>
      <c r="R250" s="25">
        <f>IF(OR(A250="",B250=""),"",B250-A250)</f>
        <v/>
      </c>
      <c r="S250" s="26">
        <f>IF(B250="","",YEAR(B250))</f>
        <v/>
      </c>
      <c r="T250" s="27">
        <f>IF(B250="","",IF(OR(F250="Electric",F250="Plug-in",F250="Hibrid"),1,0))</f>
        <v/>
      </c>
    </row>
    <row r="251">
      <c r="A251" s="18" t="n"/>
      <c r="B251" s="18" t="n"/>
      <c r="C251" s="19" t="n"/>
      <c r="D251" s="19" t="n"/>
      <c r="E251" s="20" t="n"/>
      <c r="F251" s="19" t="n"/>
      <c r="G251" s="21" t="n"/>
      <c r="H251" s="22" t="n"/>
      <c r="I251" s="22" t="n"/>
      <c r="J251" s="22" t="n"/>
      <c r="K251" s="19" t="n"/>
      <c r="L251" s="19" t="n"/>
      <c r="M251" s="19" t="n"/>
      <c r="N251" s="19" t="n"/>
      <c r="O251" s="23">
        <f>IF(J251="","",H251+I251)</f>
        <v/>
      </c>
      <c r="P251" s="23">
        <f>IF(J251="","",J251-O251)</f>
        <v/>
      </c>
      <c r="Q251" s="24">
        <f>IF(OR(J251="",J251=0),"",P251/J251)</f>
        <v/>
      </c>
      <c r="R251" s="25">
        <f>IF(OR(A251="",B251=""),"",B251-A251)</f>
        <v/>
      </c>
      <c r="S251" s="26">
        <f>IF(B251="","",YEAR(B251))</f>
        <v/>
      </c>
      <c r="T251" s="27">
        <f>IF(B251="","",IF(OR(F251="Electric",F251="Plug-in",F251="Hibrid"),1,0))</f>
        <v/>
      </c>
    </row>
    <row r="252">
      <c r="A252" s="18" t="n"/>
      <c r="B252" s="18" t="n"/>
      <c r="C252" s="19" t="n"/>
      <c r="D252" s="19" t="n"/>
      <c r="E252" s="20" t="n"/>
      <c r="F252" s="19" t="n"/>
      <c r="G252" s="21" t="n"/>
      <c r="H252" s="22" t="n"/>
      <c r="I252" s="22" t="n"/>
      <c r="J252" s="22" t="n"/>
      <c r="K252" s="19" t="n"/>
      <c r="L252" s="19" t="n"/>
      <c r="M252" s="19" t="n"/>
      <c r="N252" s="19" t="n"/>
      <c r="O252" s="23">
        <f>IF(J252="","",H252+I252)</f>
        <v/>
      </c>
      <c r="P252" s="23">
        <f>IF(J252="","",J252-O252)</f>
        <v/>
      </c>
      <c r="Q252" s="24">
        <f>IF(OR(J252="",J252=0),"",P252/J252)</f>
        <v/>
      </c>
      <c r="R252" s="25">
        <f>IF(OR(A252="",B252=""),"",B252-A252)</f>
        <v/>
      </c>
      <c r="S252" s="26">
        <f>IF(B252="","",YEAR(B252))</f>
        <v/>
      </c>
      <c r="T252" s="27">
        <f>IF(B252="","",IF(OR(F252="Electric",F252="Plug-in",F252="Hibrid"),1,0))</f>
        <v/>
      </c>
    </row>
    <row r="253">
      <c r="A253" s="18" t="n"/>
      <c r="B253" s="18" t="n"/>
      <c r="C253" s="19" t="n"/>
      <c r="D253" s="19" t="n"/>
      <c r="E253" s="20" t="n"/>
      <c r="F253" s="19" t="n"/>
      <c r="G253" s="21" t="n"/>
      <c r="H253" s="22" t="n"/>
      <c r="I253" s="22" t="n"/>
      <c r="J253" s="22" t="n"/>
      <c r="K253" s="19" t="n"/>
      <c r="L253" s="19" t="n"/>
      <c r="M253" s="19" t="n"/>
      <c r="N253" s="19" t="n"/>
      <c r="O253" s="23">
        <f>IF(J253="","",H253+I253)</f>
        <v/>
      </c>
      <c r="P253" s="23">
        <f>IF(J253="","",J253-O253)</f>
        <v/>
      </c>
      <c r="Q253" s="24">
        <f>IF(OR(J253="",J253=0),"",P253/J253)</f>
        <v/>
      </c>
      <c r="R253" s="25">
        <f>IF(OR(A253="",B253=""),"",B253-A253)</f>
        <v/>
      </c>
      <c r="S253" s="26">
        <f>IF(B253="","",YEAR(B253))</f>
        <v/>
      </c>
      <c r="T253" s="27">
        <f>IF(B253="","",IF(OR(F253="Electric",F253="Plug-in",F253="Hibrid"),1,0))</f>
        <v/>
      </c>
    </row>
    <row r="254">
      <c r="A254" s="18" t="n"/>
      <c r="B254" s="18" t="n"/>
      <c r="C254" s="19" t="n"/>
      <c r="D254" s="19" t="n"/>
      <c r="E254" s="20" t="n"/>
      <c r="F254" s="19" t="n"/>
      <c r="G254" s="21" t="n"/>
      <c r="H254" s="22" t="n"/>
      <c r="I254" s="22" t="n"/>
      <c r="J254" s="22" t="n"/>
      <c r="K254" s="19" t="n"/>
      <c r="L254" s="19" t="n"/>
      <c r="M254" s="19" t="n"/>
      <c r="N254" s="19" t="n"/>
      <c r="O254" s="23">
        <f>IF(J254="","",H254+I254)</f>
        <v/>
      </c>
      <c r="P254" s="23">
        <f>IF(J254="","",J254-O254)</f>
        <v/>
      </c>
      <c r="Q254" s="24">
        <f>IF(OR(J254="",J254=0),"",P254/J254)</f>
        <v/>
      </c>
      <c r="R254" s="25">
        <f>IF(OR(A254="",B254=""),"",B254-A254)</f>
        <v/>
      </c>
      <c r="S254" s="26">
        <f>IF(B254="","",YEAR(B254))</f>
        <v/>
      </c>
      <c r="T254" s="27">
        <f>IF(B254="","",IF(OR(F254="Electric",F254="Plug-in",F254="Hibrid"),1,0))</f>
        <v/>
      </c>
    </row>
    <row r="255">
      <c r="A255" s="18" t="n"/>
      <c r="B255" s="18" t="n"/>
      <c r="C255" s="19" t="n"/>
      <c r="D255" s="19" t="n"/>
      <c r="E255" s="20" t="n"/>
      <c r="F255" s="19" t="n"/>
      <c r="G255" s="21" t="n"/>
      <c r="H255" s="22" t="n"/>
      <c r="I255" s="22" t="n"/>
      <c r="J255" s="22" t="n"/>
      <c r="K255" s="19" t="n"/>
      <c r="L255" s="19" t="n"/>
      <c r="M255" s="19" t="n"/>
      <c r="N255" s="19" t="n"/>
      <c r="O255" s="23">
        <f>IF(J255="","",H255+I255)</f>
        <v/>
      </c>
      <c r="P255" s="23">
        <f>IF(J255="","",J255-O255)</f>
        <v/>
      </c>
      <c r="Q255" s="24">
        <f>IF(OR(J255="",J255=0),"",P255/J255)</f>
        <v/>
      </c>
      <c r="R255" s="25">
        <f>IF(OR(A255="",B255=""),"",B255-A255)</f>
        <v/>
      </c>
      <c r="S255" s="26">
        <f>IF(B255="","",YEAR(B255))</f>
        <v/>
      </c>
      <c r="T255" s="27">
        <f>IF(B255="","",IF(OR(F255="Electric",F255="Plug-in",F255="Hibrid"),1,0))</f>
        <v/>
      </c>
    </row>
    <row r="256">
      <c r="A256" s="18" t="n"/>
      <c r="B256" s="18" t="n"/>
      <c r="C256" s="19" t="n"/>
      <c r="D256" s="19" t="n"/>
      <c r="E256" s="20" t="n"/>
      <c r="F256" s="19" t="n"/>
      <c r="G256" s="21" t="n"/>
      <c r="H256" s="22" t="n"/>
      <c r="I256" s="22" t="n"/>
      <c r="J256" s="22" t="n"/>
      <c r="K256" s="19" t="n"/>
      <c r="L256" s="19" t="n"/>
      <c r="M256" s="19" t="n"/>
      <c r="N256" s="19" t="n"/>
      <c r="O256" s="23">
        <f>IF(J256="","",H256+I256)</f>
        <v/>
      </c>
      <c r="P256" s="23">
        <f>IF(J256="","",J256-O256)</f>
        <v/>
      </c>
      <c r="Q256" s="24">
        <f>IF(OR(J256="",J256=0),"",P256/J256)</f>
        <v/>
      </c>
      <c r="R256" s="25">
        <f>IF(OR(A256="",B256=""),"",B256-A256)</f>
        <v/>
      </c>
      <c r="S256" s="26">
        <f>IF(B256="","",YEAR(B256))</f>
        <v/>
      </c>
      <c r="T256" s="27">
        <f>IF(B256="","",IF(OR(F256="Electric",F256="Plug-in",F256="Hibrid"),1,0))</f>
        <v/>
      </c>
    </row>
    <row r="257">
      <c r="A257" s="18" t="n"/>
      <c r="B257" s="18" t="n"/>
      <c r="C257" s="19" t="n"/>
      <c r="D257" s="19" t="n"/>
      <c r="E257" s="20" t="n"/>
      <c r="F257" s="19" t="n"/>
      <c r="G257" s="21" t="n"/>
      <c r="H257" s="22" t="n"/>
      <c r="I257" s="22" t="n"/>
      <c r="J257" s="22" t="n"/>
      <c r="K257" s="19" t="n"/>
      <c r="L257" s="19" t="n"/>
      <c r="M257" s="19" t="n"/>
      <c r="N257" s="19" t="n"/>
      <c r="O257" s="23">
        <f>IF(J257="","",H257+I257)</f>
        <v/>
      </c>
      <c r="P257" s="23">
        <f>IF(J257="","",J257-O257)</f>
        <v/>
      </c>
      <c r="Q257" s="24">
        <f>IF(OR(J257="",J257=0),"",P257/J257)</f>
        <v/>
      </c>
      <c r="R257" s="25">
        <f>IF(OR(A257="",B257=""),"",B257-A257)</f>
        <v/>
      </c>
      <c r="S257" s="26">
        <f>IF(B257="","",YEAR(B257))</f>
        <v/>
      </c>
      <c r="T257" s="27">
        <f>IF(B257="","",IF(OR(F257="Electric",F257="Plug-in",F257="Hibrid"),1,0))</f>
        <v/>
      </c>
    </row>
    <row r="258">
      <c r="A258" s="18" t="n"/>
      <c r="B258" s="18" t="n"/>
      <c r="C258" s="19" t="n"/>
      <c r="D258" s="19" t="n"/>
      <c r="E258" s="20" t="n"/>
      <c r="F258" s="19" t="n"/>
      <c r="G258" s="21" t="n"/>
      <c r="H258" s="22" t="n"/>
      <c r="I258" s="22" t="n"/>
      <c r="J258" s="22" t="n"/>
      <c r="K258" s="19" t="n"/>
      <c r="L258" s="19" t="n"/>
      <c r="M258" s="19" t="n"/>
      <c r="N258" s="19" t="n"/>
      <c r="O258" s="23">
        <f>IF(J258="","",H258+I258)</f>
        <v/>
      </c>
      <c r="P258" s="23">
        <f>IF(J258="","",J258-O258)</f>
        <v/>
      </c>
      <c r="Q258" s="24">
        <f>IF(OR(J258="",J258=0),"",P258/J258)</f>
        <v/>
      </c>
      <c r="R258" s="25">
        <f>IF(OR(A258="",B258=""),"",B258-A258)</f>
        <v/>
      </c>
      <c r="S258" s="26">
        <f>IF(B258="","",YEAR(B258))</f>
        <v/>
      </c>
      <c r="T258" s="27">
        <f>IF(B258="","",IF(OR(F258="Electric",F258="Plug-in",F258="Hibrid"),1,0))</f>
        <v/>
      </c>
    </row>
    <row r="259">
      <c r="A259" s="18" t="n"/>
      <c r="B259" s="18" t="n"/>
      <c r="C259" s="19" t="n"/>
      <c r="D259" s="19" t="n"/>
      <c r="E259" s="20" t="n"/>
      <c r="F259" s="19" t="n"/>
      <c r="G259" s="21" t="n"/>
      <c r="H259" s="22" t="n"/>
      <c r="I259" s="22" t="n"/>
      <c r="J259" s="22" t="n"/>
      <c r="K259" s="19" t="n"/>
      <c r="L259" s="19" t="n"/>
      <c r="M259" s="19" t="n"/>
      <c r="N259" s="19" t="n"/>
      <c r="O259" s="23">
        <f>IF(J259="","",H259+I259)</f>
        <v/>
      </c>
      <c r="P259" s="23">
        <f>IF(J259="","",J259-O259)</f>
        <v/>
      </c>
      <c r="Q259" s="24">
        <f>IF(OR(J259="",J259=0),"",P259/J259)</f>
        <v/>
      </c>
      <c r="R259" s="25">
        <f>IF(OR(A259="",B259=""),"",B259-A259)</f>
        <v/>
      </c>
      <c r="S259" s="26">
        <f>IF(B259="","",YEAR(B259))</f>
        <v/>
      </c>
      <c r="T259" s="27">
        <f>IF(B259="","",IF(OR(F259="Electric",F259="Plug-in",F259="Hibrid"),1,0))</f>
        <v/>
      </c>
    </row>
    <row r="260">
      <c r="A260" s="18" t="n"/>
      <c r="B260" s="18" t="n"/>
      <c r="C260" s="19" t="n"/>
      <c r="D260" s="19" t="n"/>
      <c r="E260" s="20" t="n"/>
      <c r="F260" s="19" t="n"/>
      <c r="G260" s="21" t="n"/>
      <c r="H260" s="22" t="n"/>
      <c r="I260" s="22" t="n"/>
      <c r="J260" s="22" t="n"/>
      <c r="K260" s="19" t="n"/>
      <c r="L260" s="19" t="n"/>
      <c r="M260" s="19" t="n"/>
      <c r="N260" s="19" t="n"/>
      <c r="O260" s="23">
        <f>IF(J260="","",H260+I260)</f>
        <v/>
      </c>
      <c r="P260" s="23">
        <f>IF(J260="","",J260-O260)</f>
        <v/>
      </c>
      <c r="Q260" s="24">
        <f>IF(OR(J260="",J260=0),"",P260/J260)</f>
        <v/>
      </c>
      <c r="R260" s="25">
        <f>IF(OR(A260="",B260=""),"",B260-A260)</f>
        <v/>
      </c>
      <c r="S260" s="26">
        <f>IF(B260="","",YEAR(B260))</f>
        <v/>
      </c>
      <c r="T260" s="27">
        <f>IF(B260="","",IF(OR(F260="Electric",F260="Plug-in",F260="Hibrid"),1,0))</f>
        <v/>
      </c>
    </row>
    <row r="261">
      <c r="A261" s="18" t="n"/>
      <c r="B261" s="18" t="n"/>
      <c r="C261" s="19" t="n"/>
      <c r="D261" s="19" t="n"/>
      <c r="E261" s="20" t="n"/>
      <c r="F261" s="19" t="n"/>
      <c r="G261" s="21" t="n"/>
      <c r="H261" s="22" t="n"/>
      <c r="I261" s="22" t="n"/>
      <c r="J261" s="22" t="n"/>
      <c r="K261" s="19" t="n"/>
      <c r="L261" s="19" t="n"/>
      <c r="M261" s="19" t="n"/>
      <c r="N261" s="19" t="n"/>
      <c r="O261" s="23">
        <f>IF(J261="","",H261+I261)</f>
        <v/>
      </c>
      <c r="P261" s="23">
        <f>IF(J261="","",J261-O261)</f>
        <v/>
      </c>
      <c r="Q261" s="24">
        <f>IF(OR(J261="",J261=0),"",P261/J261)</f>
        <v/>
      </c>
      <c r="R261" s="25">
        <f>IF(OR(A261="",B261=""),"",B261-A261)</f>
        <v/>
      </c>
      <c r="S261" s="26">
        <f>IF(B261="","",YEAR(B261))</f>
        <v/>
      </c>
      <c r="T261" s="27">
        <f>IF(B261="","",IF(OR(F261="Electric",F261="Plug-in",F261="Hibrid"),1,0))</f>
        <v/>
      </c>
    </row>
    <row r="262">
      <c r="A262" s="18" t="n"/>
      <c r="B262" s="18" t="n"/>
      <c r="C262" s="19" t="n"/>
      <c r="D262" s="19" t="n"/>
      <c r="E262" s="20" t="n"/>
      <c r="F262" s="19" t="n"/>
      <c r="G262" s="21" t="n"/>
      <c r="H262" s="22" t="n"/>
      <c r="I262" s="22" t="n"/>
      <c r="J262" s="22" t="n"/>
      <c r="K262" s="19" t="n"/>
      <c r="L262" s="19" t="n"/>
      <c r="M262" s="19" t="n"/>
      <c r="N262" s="19" t="n"/>
      <c r="O262" s="23">
        <f>IF(J262="","",H262+I262)</f>
        <v/>
      </c>
      <c r="P262" s="23">
        <f>IF(J262="","",J262-O262)</f>
        <v/>
      </c>
      <c r="Q262" s="24">
        <f>IF(OR(J262="",J262=0),"",P262/J262)</f>
        <v/>
      </c>
      <c r="R262" s="25">
        <f>IF(OR(A262="",B262=""),"",B262-A262)</f>
        <v/>
      </c>
      <c r="S262" s="26">
        <f>IF(B262="","",YEAR(B262))</f>
        <v/>
      </c>
      <c r="T262" s="27">
        <f>IF(B262="","",IF(OR(F262="Electric",F262="Plug-in",F262="Hibrid"),1,0))</f>
        <v/>
      </c>
    </row>
    <row r="263">
      <c r="A263" s="18" t="n"/>
      <c r="B263" s="18" t="n"/>
      <c r="C263" s="19" t="n"/>
      <c r="D263" s="19" t="n"/>
      <c r="E263" s="20" t="n"/>
      <c r="F263" s="19" t="n"/>
      <c r="G263" s="21" t="n"/>
      <c r="H263" s="22" t="n"/>
      <c r="I263" s="22" t="n"/>
      <c r="J263" s="22" t="n"/>
      <c r="K263" s="19" t="n"/>
      <c r="L263" s="19" t="n"/>
      <c r="M263" s="19" t="n"/>
      <c r="N263" s="19" t="n"/>
      <c r="O263" s="23">
        <f>IF(J263="","",H263+I263)</f>
        <v/>
      </c>
      <c r="P263" s="23">
        <f>IF(J263="","",J263-O263)</f>
        <v/>
      </c>
      <c r="Q263" s="24">
        <f>IF(OR(J263="",J263=0),"",P263/J263)</f>
        <v/>
      </c>
      <c r="R263" s="25">
        <f>IF(OR(A263="",B263=""),"",B263-A263)</f>
        <v/>
      </c>
      <c r="S263" s="26">
        <f>IF(B263="","",YEAR(B263))</f>
        <v/>
      </c>
      <c r="T263" s="27">
        <f>IF(B263="","",IF(OR(F263="Electric",F263="Plug-in",F263="Hibrid"),1,0))</f>
        <v/>
      </c>
    </row>
    <row r="264">
      <c r="A264" s="18" t="n"/>
      <c r="B264" s="18" t="n"/>
      <c r="C264" s="19" t="n"/>
      <c r="D264" s="19" t="n"/>
      <c r="E264" s="20" t="n"/>
      <c r="F264" s="19" t="n"/>
      <c r="G264" s="21" t="n"/>
      <c r="H264" s="22" t="n"/>
      <c r="I264" s="22" t="n"/>
      <c r="J264" s="22" t="n"/>
      <c r="K264" s="19" t="n"/>
      <c r="L264" s="19" t="n"/>
      <c r="M264" s="19" t="n"/>
      <c r="N264" s="19" t="n"/>
      <c r="O264" s="23">
        <f>IF(J264="","",H264+I264)</f>
        <v/>
      </c>
      <c r="P264" s="23">
        <f>IF(J264="","",J264-O264)</f>
        <v/>
      </c>
      <c r="Q264" s="24">
        <f>IF(OR(J264="",J264=0),"",P264/J264)</f>
        <v/>
      </c>
      <c r="R264" s="25">
        <f>IF(OR(A264="",B264=""),"",B264-A264)</f>
        <v/>
      </c>
      <c r="S264" s="26">
        <f>IF(B264="","",YEAR(B264))</f>
        <v/>
      </c>
      <c r="T264" s="27">
        <f>IF(B264="","",IF(OR(F264="Electric",F264="Plug-in",F264="Hibrid"),1,0))</f>
        <v/>
      </c>
    </row>
    <row r="265">
      <c r="A265" s="18" t="n"/>
      <c r="B265" s="18" t="n"/>
      <c r="C265" s="19" t="n"/>
      <c r="D265" s="19" t="n"/>
      <c r="E265" s="20" t="n"/>
      <c r="F265" s="19" t="n"/>
      <c r="G265" s="21" t="n"/>
      <c r="H265" s="22" t="n"/>
      <c r="I265" s="22" t="n"/>
      <c r="J265" s="22" t="n"/>
      <c r="K265" s="19" t="n"/>
      <c r="L265" s="19" t="n"/>
      <c r="M265" s="19" t="n"/>
      <c r="N265" s="19" t="n"/>
      <c r="O265" s="23">
        <f>IF(J265="","",H265+I265)</f>
        <v/>
      </c>
      <c r="P265" s="23">
        <f>IF(J265="","",J265-O265)</f>
        <v/>
      </c>
      <c r="Q265" s="24">
        <f>IF(OR(J265="",J265=0),"",P265/J265)</f>
        <v/>
      </c>
      <c r="R265" s="25">
        <f>IF(OR(A265="",B265=""),"",B265-A265)</f>
        <v/>
      </c>
      <c r="S265" s="26">
        <f>IF(B265="","",YEAR(B265))</f>
        <v/>
      </c>
      <c r="T265" s="27">
        <f>IF(B265="","",IF(OR(F265="Electric",F265="Plug-in",F265="Hibrid"),1,0))</f>
        <v/>
      </c>
    </row>
    <row r="266">
      <c r="A266" s="18" t="n"/>
      <c r="B266" s="18" t="n"/>
      <c r="C266" s="19" t="n"/>
      <c r="D266" s="19" t="n"/>
      <c r="E266" s="20" t="n"/>
      <c r="F266" s="19" t="n"/>
      <c r="G266" s="21" t="n"/>
      <c r="H266" s="22" t="n"/>
      <c r="I266" s="22" t="n"/>
      <c r="J266" s="22" t="n"/>
      <c r="K266" s="19" t="n"/>
      <c r="L266" s="19" t="n"/>
      <c r="M266" s="19" t="n"/>
      <c r="N266" s="19" t="n"/>
      <c r="O266" s="23">
        <f>IF(J266="","",H266+I266)</f>
        <v/>
      </c>
      <c r="P266" s="23">
        <f>IF(J266="","",J266-O266)</f>
        <v/>
      </c>
      <c r="Q266" s="24">
        <f>IF(OR(J266="",J266=0),"",P266/J266)</f>
        <v/>
      </c>
      <c r="R266" s="25">
        <f>IF(OR(A266="",B266=""),"",B266-A266)</f>
        <v/>
      </c>
      <c r="S266" s="26">
        <f>IF(B266="","",YEAR(B266))</f>
        <v/>
      </c>
      <c r="T266" s="27">
        <f>IF(B266="","",IF(OR(F266="Electric",F266="Plug-in",F266="Hibrid"),1,0))</f>
        <v/>
      </c>
    </row>
    <row r="267">
      <c r="A267" s="18" t="n"/>
      <c r="B267" s="18" t="n"/>
      <c r="C267" s="19" t="n"/>
      <c r="D267" s="19" t="n"/>
      <c r="E267" s="20" t="n"/>
      <c r="F267" s="19" t="n"/>
      <c r="G267" s="21" t="n"/>
      <c r="H267" s="22" t="n"/>
      <c r="I267" s="22" t="n"/>
      <c r="J267" s="22" t="n"/>
      <c r="K267" s="19" t="n"/>
      <c r="L267" s="19" t="n"/>
      <c r="M267" s="19" t="n"/>
      <c r="N267" s="19" t="n"/>
      <c r="O267" s="23">
        <f>IF(J267="","",H267+I267)</f>
        <v/>
      </c>
      <c r="P267" s="23">
        <f>IF(J267="","",J267-O267)</f>
        <v/>
      </c>
      <c r="Q267" s="24">
        <f>IF(OR(J267="",J267=0),"",P267/J267)</f>
        <v/>
      </c>
      <c r="R267" s="25">
        <f>IF(OR(A267="",B267=""),"",B267-A267)</f>
        <v/>
      </c>
      <c r="S267" s="26">
        <f>IF(B267="","",YEAR(B267))</f>
        <v/>
      </c>
      <c r="T267" s="27">
        <f>IF(B267="","",IF(OR(F267="Electric",F267="Plug-in",F267="Hibrid"),1,0))</f>
        <v/>
      </c>
    </row>
    <row r="268">
      <c r="A268" s="18" t="n"/>
      <c r="B268" s="18" t="n"/>
      <c r="C268" s="19" t="n"/>
      <c r="D268" s="19" t="n"/>
      <c r="E268" s="20" t="n"/>
      <c r="F268" s="19" t="n"/>
      <c r="G268" s="21" t="n"/>
      <c r="H268" s="22" t="n"/>
      <c r="I268" s="22" t="n"/>
      <c r="J268" s="22" t="n"/>
      <c r="K268" s="19" t="n"/>
      <c r="L268" s="19" t="n"/>
      <c r="M268" s="19" t="n"/>
      <c r="N268" s="19" t="n"/>
      <c r="O268" s="23">
        <f>IF(J268="","",H268+I268)</f>
        <v/>
      </c>
      <c r="P268" s="23">
        <f>IF(J268="","",J268-O268)</f>
        <v/>
      </c>
      <c r="Q268" s="24">
        <f>IF(OR(J268="",J268=0),"",P268/J268)</f>
        <v/>
      </c>
      <c r="R268" s="25">
        <f>IF(OR(A268="",B268=""),"",B268-A268)</f>
        <v/>
      </c>
      <c r="S268" s="26">
        <f>IF(B268="","",YEAR(B268))</f>
        <v/>
      </c>
      <c r="T268" s="27">
        <f>IF(B268="","",IF(OR(F268="Electric",F268="Plug-in",F268="Hibrid"),1,0))</f>
        <v/>
      </c>
    </row>
    <row r="269">
      <c r="A269" s="18" t="n"/>
      <c r="B269" s="18" t="n"/>
      <c r="C269" s="19" t="n"/>
      <c r="D269" s="19" t="n"/>
      <c r="E269" s="20" t="n"/>
      <c r="F269" s="19" t="n"/>
      <c r="G269" s="21" t="n"/>
      <c r="H269" s="22" t="n"/>
      <c r="I269" s="22" t="n"/>
      <c r="J269" s="22" t="n"/>
      <c r="K269" s="19" t="n"/>
      <c r="L269" s="19" t="n"/>
      <c r="M269" s="19" t="n"/>
      <c r="N269" s="19" t="n"/>
      <c r="O269" s="23">
        <f>IF(J269="","",H269+I269)</f>
        <v/>
      </c>
      <c r="P269" s="23">
        <f>IF(J269="","",J269-O269)</f>
        <v/>
      </c>
      <c r="Q269" s="24">
        <f>IF(OR(J269="",J269=0),"",P269/J269)</f>
        <v/>
      </c>
      <c r="R269" s="25">
        <f>IF(OR(A269="",B269=""),"",B269-A269)</f>
        <v/>
      </c>
      <c r="S269" s="26">
        <f>IF(B269="","",YEAR(B269))</f>
        <v/>
      </c>
      <c r="T269" s="27">
        <f>IF(B269="","",IF(OR(F269="Electric",F269="Plug-in",F269="Hibrid"),1,0))</f>
        <v/>
      </c>
    </row>
    <row r="270">
      <c r="A270" s="18" t="n"/>
      <c r="B270" s="18" t="n"/>
      <c r="C270" s="19" t="n"/>
      <c r="D270" s="19" t="n"/>
      <c r="E270" s="20" t="n"/>
      <c r="F270" s="19" t="n"/>
      <c r="G270" s="21" t="n"/>
      <c r="H270" s="22" t="n"/>
      <c r="I270" s="22" t="n"/>
      <c r="J270" s="22" t="n"/>
      <c r="K270" s="19" t="n"/>
      <c r="L270" s="19" t="n"/>
      <c r="M270" s="19" t="n"/>
      <c r="N270" s="19" t="n"/>
      <c r="O270" s="23">
        <f>IF(J270="","",H270+I270)</f>
        <v/>
      </c>
      <c r="P270" s="23">
        <f>IF(J270="","",J270-O270)</f>
        <v/>
      </c>
      <c r="Q270" s="24">
        <f>IF(OR(J270="",J270=0),"",P270/J270)</f>
        <v/>
      </c>
      <c r="R270" s="25">
        <f>IF(OR(A270="",B270=""),"",B270-A270)</f>
        <v/>
      </c>
      <c r="S270" s="26">
        <f>IF(B270="","",YEAR(B270))</f>
        <v/>
      </c>
      <c r="T270" s="27">
        <f>IF(B270="","",IF(OR(F270="Electric",F270="Plug-in",F270="Hibrid"),1,0))</f>
        <v/>
      </c>
    </row>
    <row r="271">
      <c r="A271" s="18" t="n"/>
      <c r="B271" s="18" t="n"/>
      <c r="C271" s="19" t="n"/>
      <c r="D271" s="19" t="n"/>
      <c r="E271" s="20" t="n"/>
      <c r="F271" s="19" t="n"/>
      <c r="G271" s="21" t="n"/>
      <c r="H271" s="22" t="n"/>
      <c r="I271" s="22" t="n"/>
      <c r="J271" s="22" t="n"/>
      <c r="K271" s="19" t="n"/>
      <c r="L271" s="19" t="n"/>
      <c r="M271" s="19" t="n"/>
      <c r="N271" s="19" t="n"/>
      <c r="O271" s="23">
        <f>IF(J271="","",H271+I271)</f>
        <v/>
      </c>
      <c r="P271" s="23">
        <f>IF(J271="","",J271-O271)</f>
        <v/>
      </c>
      <c r="Q271" s="24">
        <f>IF(OR(J271="",J271=0),"",P271/J271)</f>
        <v/>
      </c>
      <c r="R271" s="25">
        <f>IF(OR(A271="",B271=""),"",B271-A271)</f>
        <v/>
      </c>
      <c r="S271" s="26">
        <f>IF(B271="","",YEAR(B271))</f>
        <v/>
      </c>
      <c r="T271" s="27">
        <f>IF(B271="","",IF(OR(F271="Electric",F271="Plug-in",F271="Hibrid"),1,0))</f>
        <v/>
      </c>
    </row>
    <row r="272">
      <c r="A272" s="18" t="n"/>
      <c r="B272" s="18" t="n"/>
      <c r="C272" s="19" t="n"/>
      <c r="D272" s="19" t="n"/>
      <c r="E272" s="20" t="n"/>
      <c r="F272" s="19" t="n"/>
      <c r="G272" s="21" t="n"/>
      <c r="H272" s="22" t="n"/>
      <c r="I272" s="22" t="n"/>
      <c r="J272" s="22" t="n"/>
      <c r="K272" s="19" t="n"/>
      <c r="L272" s="19" t="n"/>
      <c r="M272" s="19" t="n"/>
      <c r="N272" s="19" t="n"/>
      <c r="O272" s="23">
        <f>IF(J272="","",H272+I272)</f>
        <v/>
      </c>
      <c r="P272" s="23">
        <f>IF(J272="","",J272-O272)</f>
        <v/>
      </c>
      <c r="Q272" s="24">
        <f>IF(OR(J272="",J272=0),"",P272/J272)</f>
        <v/>
      </c>
      <c r="R272" s="25">
        <f>IF(OR(A272="",B272=""),"",B272-A272)</f>
        <v/>
      </c>
      <c r="S272" s="26">
        <f>IF(B272="","",YEAR(B272))</f>
        <v/>
      </c>
      <c r="T272" s="27">
        <f>IF(B272="","",IF(OR(F272="Electric",F272="Plug-in",F272="Hibrid"),1,0))</f>
        <v/>
      </c>
    </row>
    <row r="273">
      <c r="A273" s="18" t="n"/>
      <c r="B273" s="18" t="n"/>
      <c r="C273" s="19" t="n"/>
      <c r="D273" s="19" t="n"/>
      <c r="E273" s="20" t="n"/>
      <c r="F273" s="19" t="n"/>
      <c r="G273" s="21" t="n"/>
      <c r="H273" s="22" t="n"/>
      <c r="I273" s="22" t="n"/>
      <c r="J273" s="22" t="n"/>
      <c r="K273" s="19" t="n"/>
      <c r="L273" s="19" t="n"/>
      <c r="M273" s="19" t="n"/>
      <c r="N273" s="19" t="n"/>
      <c r="O273" s="23">
        <f>IF(J273="","",H273+I273)</f>
        <v/>
      </c>
      <c r="P273" s="23">
        <f>IF(J273="","",J273-O273)</f>
        <v/>
      </c>
      <c r="Q273" s="24">
        <f>IF(OR(J273="",J273=0),"",P273/J273)</f>
        <v/>
      </c>
      <c r="R273" s="25">
        <f>IF(OR(A273="",B273=""),"",B273-A273)</f>
        <v/>
      </c>
      <c r="S273" s="26">
        <f>IF(B273="","",YEAR(B273))</f>
        <v/>
      </c>
      <c r="T273" s="27">
        <f>IF(B273="","",IF(OR(F273="Electric",F273="Plug-in",F273="Hibrid"),1,0))</f>
        <v/>
      </c>
    </row>
    <row r="274">
      <c r="A274" s="18" t="n"/>
      <c r="B274" s="18" t="n"/>
      <c r="C274" s="19" t="n"/>
      <c r="D274" s="19" t="n"/>
      <c r="E274" s="20" t="n"/>
      <c r="F274" s="19" t="n"/>
      <c r="G274" s="21" t="n"/>
      <c r="H274" s="22" t="n"/>
      <c r="I274" s="22" t="n"/>
      <c r="J274" s="22" t="n"/>
      <c r="K274" s="19" t="n"/>
      <c r="L274" s="19" t="n"/>
      <c r="M274" s="19" t="n"/>
      <c r="N274" s="19" t="n"/>
      <c r="O274" s="23">
        <f>IF(J274="","",H274+I274)</f>
        <v/>
      </c>
      <c r="P274" s="23">
        <f>IF(J274="","",J274-O274)</f>
        <v/>
      </c>
      <c r="Q274" s="24">
        <f>IF(OR(J274="",J274=0),"",P274/J274)</f>
        <v/>
      </c>
      <c r="R274" s="25">
        <f>IF(OR(A274="",B274=""),"",B274-A274)</f>
        <v/>
      </c>
      <c r="S274" s="26">
        <f>IF(B274="","",YEAR(B274))</f>
        <v/>
      </c>
      <c r="T274" s="27">
        <f>IF(B274="","",IF(OR(F274="Electric",F274="Plug-in",F274="Hibrid"),1,0))</f>
        <v/>
      </c>
    </row>
    <row r="275">
      <c r="A275" s="18" t="n"/>
      <c r="B275" s="18" t="n"/>
      <c r="C275" s="19" t="n"/>
      <c r="D275" s="19" t="n"/>
      <c r="E275" s="20" t="n"/>
      <c r="F275" s="19" t="n"/>
      <c r="G275" s="21" t="n"/>
      <c r="H275" s="22" t="n"/>
      <c r="I275" s="22" t="n"/>
      <c r="J275" s="22" t="n"/>
      <c r="K275" s="19" t="n"/>
      <c r="L275" s="19" t="n"/>
      <c r="M275" s="19" t="n"/>
      <c r="N275" s="19" t="n"/>
      <c r="O275" s="23">
        <f>IF(J275="","",H275+I275)</f>
        <v/>
      </c>
      <c r="P275" s="23">
        <f>IF(J275="","",J275-O275)</f>
        <v/>
      </c>
      <c r="Q275" s="24">
        <f>IF(OR(J275="",J275=0),"",P275/J275)</f>
        <v/>
      </c>
      <c r="R275" s="25">
        <f>IF(OR(A275="",B275=""),"",B275-A275)</f>
        <v/>
      </c>
      <c r="S275" s="26">
        <f>IF(B275="","",YEAR(B275))</f>
        <v/>
      </c>
      <c r="T275" s="27">
        <f>IF(B275="","",IF(OR(F275="Electric",F275="Plug-in",F275="Hibrid"),1,0))</f>
        <v/>
      </c>
    </row>
    <row r="276">
      <c r="A276" s="18" t="n"/>
      <c r="B276" s="18" t="n"/>
      <c r="C276" s="19" t="n"/>
      <c r="D276" s="19" t="n"/>
      <c r="E276" s="20" t="n"/>
      <c r="F276" s="19" t="n"/>
      <c r="G276" s="21" t="n"/>
      <c r="H276" s="22" t="n"/>
      <c r="I276" s="22" t="n"/>
      <c r="J276" s="22" t="n"/>
      <c r="K276" s="19" t="n"/>
      <c r="L276" s="19" t="n"/>
      <c r="M276" s="19" t="n"/>
      <c r="N276" s="19" t="n"/>
      <c r="O276" s="23">
        <f>IF(J276="","",H276+I276)</f>
        <v/>
      </c>
      <c r="P276" s="23">
        <f>IF(J276="","",J276-O276)</f>
        <v/>
      </c>
      <c r="Q276" s="24">
        <f>IF(OR(J276="",J276=0),"",P276/J276)</f>
        <v/>
      </c>
      <c r="R276" s="25">
        <f>IF(OR(A276="",B276=""),"",B276-A276)</f>
        <v/>
      </c>
      <c r="S276" s="26">
        <f>IF(B276="","",YEAR(B276))</f>
        <v/>
      </c>
      <c r="T276" s="27">
        <f>IF(B276="","",IF(OR(F276="Electric",F276="Plug-in",F276="Hibrid"),1,0))</f>
        <v/>
      </c>
    </row>
    <row r="277">
      <c r="A277" s="18" t="n"/>
      <c r="B277" s="18" t="n"/>
      <c r="C277" s="19" t="n"/>
      <c r="D277" s="19" t="n"/>
      <c r="E277" s="20" t="n"/>
      <c r="F277" s="19" t="n"/>
      <c r="G277" s="21" t="n"/>
      <c r="H277" s="22" t="n"/>
      <c r="I277" s="22" t="n"/>
      <c r="J277" s="22" t="n"/>
      <c r="K277" s="19" t="n"/>
      <c r="L277" s="19" t="n"/>
      <c r="M277" s="19" t="n"/>
      <c r="N277" s="19" t="n"/>
      <c r="O277" s="23">
        <f>IF(J277="","",H277+I277)</f>
        <v/>
      </c>
      <c r="P277" s="23">
        <f>IF(J277="","",J277-O277)</f>
        <v/>
      </c>
      <c r="Q277" s="24">
        <f>IF(OR(J277="",J277=0),"",P277/J277)</f>
        <v/>
      </c>
      <c r="R277" s="25">
        <f>IF(OR(A277="",B277=""),"",B277-A277)</f>
        <v/>
      </c>
      <c r="S277" s="26">
        <f>IF(B277="","",YEAR(B277))</f>
        <v/>
      </c>
      <c r="T277" s="27">
        <f>IF(B277="","",IF(OR(F277="Electric",F277="Plug-in",F277="Hibrid"),1,0))</f>
        <v/>
      </c>
    </row>
    <row r="278">
      <c r="A278" s="18" t="n"/>
      <c r="B278" s="18" t="n"/>
      <c r="C278" s="19" t="n"/>
      <c r="D278" s="19" t="n"/>
      <c r="E278" s="20" t="n"/>
      <c r="F278" s="19" t="n"/>
      <c r="G278" s="21" t="n"/>
      <c r="H278" s="22" t="n"/>
      <c r="I278" s="22" t="n"/>
      <c r="J278" s="22" t="n"/>
      <c r="K278" s="19" t="n"/>
      <c r="L278" s="19" t="n"/>
      <c r="M278" s="19" t="n"/>
      <c r="N278" s="19" t="n"/>
      <c r="O278" s="23">
        <f>IF(J278="","",H278+I278)</f>
        <v/>
      </c>
      <c r="P278" s="23">
        <f>IF(J278="","",J278-O278)</f>
        <v/>
      </c>
      <c r="Q278" s="24">
        <f>IF(OR(J278="",J278=0),"",P278/J278)</f>
        <v/>
      </c>
      <c r="R278" s="25">
        <f>IF(OR(A278="",B278=""),"",B278-A278)</f>
        <v/>
      </c>
      <c r="S278" s="26">
        <f>IF(B278="","",YEAR(B278))</f>
        <v/>
      </c>
      <c r="T278" s="27">
        <f>IF(B278="","",IF(OR(F278="Electric",F278="Plug-in",F278="Hibrid"),1,0))</f>
        <v/>
      </c>
    </row>
    <row r="279">
      <c r="A279" s="18" t="n"/>
      <c r="B279" s="18" t="n"/>
      <c r="C279" s="19" t="n"/>
      <c r="D279" s="19" t="n"/>
      <c r="E279" s="20" t="n"/>
      <c r="F279" s="19" t="n"/>
      <c r="G279" s="21" t="n"/>
      <c r="H279" s="22" t="n"/>
      <c r="I279" s="22" t="n"/>
      <c r="J279" s="22" t="n"/>
      <c r="K279" s="19" t="n"/>
      <c r="L279" s="19" t="n"/>
      <c r="M279" s="19" t="n"/>
      <c r="N279" s="19" t="n"/>
      <c r="O279" s="23">
        <f>IF(J279="","",H279+I279)</f>
        <v/>
      </c>
      <c r="P279" s="23">
        <f>IF(J279="","",J279-O279)</f>
        <v/>
      </c>
      <c r="Q279" s="24">
        <f>IF(OR(J279="",J279=0),"",P279/J279)</f>
        <v/>
      </c>
      <c r="R279" s="25">
        <f>IF(OR(A279="",B279=""),"",B279-A279)</f>
        <v/>
      </c>
      <c r="S279" s="26">
        <f>IF(B279="","",YEAR(B279))</f>
        <v/>
      </c>
      <c r="T279" s="27">
        <f>IF(B279="","",IF(OR(F279="Electric",F279="Plug-in",F279="Hibrid"),1,0))</f>
        <v/>
      </c>
    </row>
    <row r="280">
      <c r="A280" s="18" t="n"/>
      <c r="B280" s="18" t="n"/>
      <c r="C280" s="19" t="n"/>
      <c r="D280" s="19" t="n"/>
      <c r="E280" s="20" t="n"/>
      <c r="F280" s="19" t="n"/>
      <c r="G280" s="21" t="n"/>
      <c r="H280" s="22" t="n"/>
      <c r="I280" s="22" t="n"/>
      <c r="J280" s="22" t="n"/>
      <c r="K280" s="19" t="n"/>
      <c r="L280" s="19" t="n"/>
      <c r="M280" s="19" t="n"/>
      <c r="N280" s="19" t="n"/>
      <c r="O280" s="23">
        <f>IF(J280="","",H280+I280)</f>
        <v/>
      </c>
      <c r="P280" s="23">
        <f>IF(J280="","",J280-O280)</f>
        <v/>
      </c>
      <c r="Q280" s="24">
        <f>IF(OR(J280="",J280=0),"",P280/J280)</f>
        <v/>
      </c>
      <c r="R280" s="25">
        <f>IF(OR(A280="",B280=""),"",B280-A280)</f>
        <v/>
      </c>
      <c r="S280" s="26">
        <f>IF(B280="","",YEAR(B280))</f>
        <v/>
      </c>
      <c r="T280" s="27">
        <f>IF(B280="","",IF(OR(F280="Electric",F280="Plug-in",F280="Hibrid"),1,0))</f>
        <v/>
      </c>
    </row>
    <row r="281">
      <c r="A281" s="18" t="n"/>
      <c r="B281" s="18" t="n"/>
      <c r="C281" s="19" t="n"/>
      <c r="D281" s="19" t="n"/>
      <c r="E281" s="20" t="n"/>
      <c r="F281" s="19" t="n"/>
      <c r="G281" s="21" t="n"/>
      <c r="H281" s="22" t="n"/>
      <c r="I281" s="22" t="n"/>
      <c r="J281" s="22" t="n"/>
      <c r="K281" s="19" t="n"/>
      <c r="L281" s="19" t="n"/>
      <c r="M281" s="19" t="n"/>
      <c r="N281" s="19" t="n"/>
      <c r="O281" s="23">
        <f>IF(J281="","",H281+I281)</f>
        <v/>
      </c>
      <c r="P281" s="23">
        <f>IF(J281="","",J281-O281)</f>
        <v/>
      </c>
      <c r="Q281" s="24">
        <f>IF(OR(J281="",J281=0),"",P281/J281)</f>
        <v/>
      </c>
      <c r="R281" s="25">
        <f>IF(OR(A281="",B281=""),"",B281-A281)</f>
        <v/>
      </c>
      <c r="S281" s="26">
        <f>IF(B281="","",YEAR(B281))</f>
        <v/>
      </c>
      <c r="T281" s="27">
        <f>IF(B281="","",IF(OR(F281="Electric",F281="Plug-in",F281="Hibrid"),1,0))</f>
        <v/>
      </c>
    </row>
    <row r="282">
      <c r="A282" s="18" t="n"/>
      <c r="B282" s="18" t="n"/>
      <c r="C282" s="19" t="n"/>
      <c r="D282" s="19" t="n"/>
      <c r="E282" s="20" t="n"/>
      <c r="F282" s="19" t="n"/>
      <c r="G282" s="21" t="n"/>
      <c r="H282" s="22" t="n"/>
      <c r="I282" s="22" t="n"/>
      <c r="J282" s="22" t="n"/>
      <c r="K282" s="19" t="n"/>
      <c r="L282" s="19" t="n"/>
      <c r="M282" s="19" t="n"/>
      <c r="N282" s="19" t="n"/>
      <c r="O282" s="23">
        <f>IF(J282="","",H282+I282)</f>
        <v/>
      </c>
      <c r="P282" s="23">
        <f>IF(J282="","",J282-O282)</f>
        <v/>
      </c>
      <c r="Q282" s="24">
        <f>IF(OR(J282="",J282=0),"",P282/J282)</f>
        <v/>
      </c>
      <c r="R282" s="25">
        <f>IF(OR(A282="",B282=""),"",B282-A282)</f>
        <v/>
      </c>
      <c r="S282" s="26">
        <f>IF(B282="","",YEAR(B282))</f>
        <v/>
      </c>
      <c r="T282" s="27">
        <f>IF(B282="","",IF(OR(F282="Electric",F282="Plug-in",F282="Hibrid"),1,0))</f>
        <v/>
      </c>
    </row>
    <row r="283">
      <c r="A283" s="18" t="n"/>
      <c r="B283" s="18" t="n"/>
      <c r="C283" s="19" t="n"/>
      <c r="D283" s="19" t="n"/>
      <c r="E283" s="20" t="n"/>
      <c r="F283" s="19" t="n"/>
      <c r="G283" s="21" t="n"/>
      <c r="H283" s="22" t="n"/>
      <c r="I283" s="22" t="n"/>
      <c r="J283" s="22" t="n"/>
      <c r="K283" s="19" t="n"/>
      <c r="L283" s="19" t="n"/>
      <c r="M283" s="19" t="n"/>
      <c r="N283" s="19" t="n"/>
      <c r="O283" s="23">
        <f>IF(J283="","",H283+I283)</f>
        <v/>
      </c>
      <c r="P283" s="23">
        <f>IF(J283="","",J283-O283)</f>
        <v/>
      </c>
      <c r="Q283" s="24">
        <f>IF(OR(J283="",J283=0),"",P283/J283)</f>
        <v/>
      </c>
      <c r="R283" s="25">
        <f>IF(OR(A283="",B283=""),"",B283-A283)</f>
        <v/>
      </c>
      <c r="S283" s="26">
        <f>IF(B283="","",YEAR(B283))</f>
        <v/>
      </c>
      <c r="T283" s="27">
        <f>IF(B283="","",IF(OR(F283="Electric",F283="Plug-in",F283="Hibrid"),1,0))</f>
        <v/>
      </c>
    </row>
    <row r="284">
      <c r="A284" s="18" t="n"/>
      <c r="B284" s="18" t="n"/>
      <c r="C284" s="19" t="n"/>
      <c r="D284" s="19" t="n"/>
      <c r="E284" s="20" t="n"/>
      <c r="F284" s="19" t="n"/>
      <c r="G284" s="21" t="n"/>
      <c r="H284" s="22" t="n"/>
      <c r="I284" s="22" t="n"/>
      <c r="J284" s="22" t="n"/>
      <c r="K284" s="19" t="n"/>
      <c r="L284" s="19" t="n"/>
      <c r="M284" s="19" t="n"/>
      <c r="N284" s="19" t="n"/>
      <c r="O284" s="23">
        <f>IF(J284="","",H284+I284)</f>
        <v/>
      </c>
      <c r="P284" s="23">
        <f>IF(J284="","",J284-O284)</f>
        <v/>
      </c>
      <c r="Q284" s="24">
        <f>IF(OR(J284="",J284=0),"",P284/J284)</f>
        <v/>
      </c>
      <c r="R284" s="25">
        <f>IF(OR(A284="",B284=""),"",B284-A284)</f>
        <v/>
      </c>
      <c r="S284" s="26">
        <f>IF(B284="","",YEAR(B284))</f>
        <v/>
      </c>
      <c r="T284" s="27">
        <f>IF(B284="","",IF(OR(F284="Electric",F284="Plug-in",F284="Hibrid"),1,0))</f>
        <v/>
      </c>
    </row>
    <row r="285">
      <c r="A285" s="18" t="n"/>
      <c r="B285" s="18" t="n"/>
      <c r="C285" s="19" t="n"/>
      <c r="D285" s="19" t="n"/>
      <c r="E285" s="20" t="n"/>
      <c r="F285" s="19" t="n"/>
      <c r="G285" s="21" t="n"/>
      <c r="H285" s="22" t="n"/>
      <c r="I285" s="22" t="n"/>
      <c r="J285" s="22" t="n"/>
      <c r="K285" s="19" t="n"/>
      <c r="L285" s="19" t="n"/>
      <c r="M285" s="19" t="n"/>
      <c r="N285" s="19" t="n"/>
      <c r="O285" s="23">
        <f>IF(J285="","",H285+I285)</f>
        <v/>
      </c>
      <c r="P285" s="23">
        <f>IF(J285="","",J285-O285)</f>
        <v/>
      </c>
      <c r="Q285" s="24">
        <f>IF(OR(J285="",J285=0),"",P285/J285)</f>
        <v/>
      </c>
      <c r="R285" s="25">
        <f>IF(OR(A285="",B285=""),"",B285-A285)</f>
        <v/>
      </c>
      <c r="S285" s="26">
        <f>IF(B285="","",YEAR(B285))</f>
        <v/>
      </c>
      <c r="T285" s="27">
        <f>IF(B285="","",IF(OR(F285="Electric",F285="Plug-in",F285="Hibrid"),1,0))</f>
        <v/>
      </c>
    </row>
    <row r="286">
      <c r="A286" s="18" t="n"/>
      <c r="B286" s="18" t="n"/>
      <c r="C286" s="19" t="n"/>
      <c r="D286" s="19" t="n"/>
      <c r="E286" s="20" t="n"/>
      <c r="F286" s="19" t="n"/>
      <c r="G286" s="21" t="n"/>
      <c r="H286" s="22" t="n"/>
      <c r="I286" s="22" t="n"/>
      <c r="J286" s="22" t="n"/>
      <c r="K286" s="19" t="n"/>
      <c r="L286" s="19" t="n"/>
      <c r="M286" s="19" t="n"/>
      <c r="N286" s="19" t="n"/>
      <c r="O286" s="23">
        <f>IF(J286="","",H286+I286)</f>
        <v/>
      </c>
      <c r="P286" s="23">
        <f>IF(J286="","",J286-O286)</f>
        <v/>
      </c>
      <c r="Q286" s="24">
        <f>IF(OR(J286="",J286=0),"",P286/J286)</f>
        <v/>
      </c>
      <c r="R286" s="25">
        <f>IF(OR(A286="",B286=""),"",B286-A286)</f>
        <v/>
      </c>
      <c r="S286" s="26">
        <f>IF(B286="","",YEAR(B286))</f>
        <v/>
      </c>
      <c r="T286" s="27">
        <f>IF(B286="","",IF(OR(F286="Electric",F286="Plug-in",F286="Hibrid"),1,0))</f>
        <v/>
      </c>
    </row>
    <row r="287">
      <c r="A287" s="18" t="n"/>
      <c r="B287" s="18" t="n"/>
      <c r="C287" s="19" t="n"/>
      <c r="D287" s="19" t="n"/>
      <c r="E287" s="20" t="n"/>
      <c r="F287" s="19" t="n"/>
      <c r="G287" s="21" t="n"/>
      <c r="H287" s="22" t="n"/>
      <c r="I287" s="22" t="n"/>
      <c r="J287" s="22" t="n"/>
      <c r="K287" s="19" t="n"/>
      <c r="L287" s="19" t="n"/>
      <c r="M287" s="19" t="n"/>
      <c r="N287" s="19" t="n"/>
      <c r="O287" s="23">
        <f>IF(J287="","",H287+I287)</f>
        <v/>
      </c>
      <c r="P287" s="23">
        <f>IF(J287="","",J287-O287)</f>
        <v/>
      </c>
      <c r="Q287" s="24">
        <f>IF(OR(J287="",J287=0),"",P287/J287)</f>
        <v/>
      </c>
      <c r="R287" s="25">
        <f>IF(OR(A287="",B287=""),"",B287-A287)</f>
        <v/>
      </c>
      <c r="S287" s="26">
        <f>IF(B287="","",YEAR(B287))</f>
        <v/>
      </c>
      <c r="T287" s="27">
        <f>IF(B287="","",IF(OR(F287="Electric",F287="Plug-in",F287="Hibrid"),1,0))</f>
        <v/>
      </c>
    </row>
    <row r="288">
      <c r="A288" s="18" t="n"/>
      <c r="B288" s="18" t="n"/>
      <c r="C288" s="19" t="n"/>
      <c r="D288" s="19" t="n"/>
      <c r="E288" s="20" t="n"/>
      <c r="F288" s="19" t="n"/>
      <c r="G288" s="21" t="n"/>
      <c r="H288" s="22" t="n"/>
      <c r="I288" s="22" t="n"/>
      <c r="J288" s="22" t="n"/>
      <c r="K288" s="19" t="n"/>
      <c r="L288" s="19" t="n"/>
      <c r="M288" s="19" t="n"/>
      <c r="N288" s="19" t="n"/>
      <c r="O288" s="23">
        <f>IF(J288="","",H288+I288)</f>
        <v/>
      </c>
      <c r="P288" s="23">
        <f>IF(J288="","",J288-O288)</f>
        <v/>
      </c>
      <c r="Q288" s="24">
        <f>IF(OR(J288="",J288=0),"",P288/J288)</f>
        <v/>
      </c>
      <c r="R288" s="25">
        <f>IF(OR(A288="",B288=""),"",B288-A288)</f>
        <v/>
      </c>
      <c r="S288" s="26">
        <f>IF(B288="","",YEAR(B288))</f>
        <v/>
      </c>
      <c r="T288" s="27">
        <f>IF(B288="","",IF(OR(F288="Electric",F288="Plug-in",F288="Hibrid"),1,0))</f>
        <v/>
      </c>
    </row>
    <row r="289">
      <c r="A289" s="18" t="n"/>
      <c r="B289" s="18" t="n"/>
      <c r="C289" s="19" t="n"/>
      <c r="D289" s="19" t="n"/>
      <c r="E289" s="20" t="n"/>
      <c r="F289" s="19" t="n"/>
      <c r="G289" s="21" t="n"/>
      <c r="H289" s="22" t="n"/>
      <c r="I289" s="22" t="n"/>
      <c r="J289" s="22" t="n"/>
      <c r="K289" s="19" t="n"/>
      <c r="L289" s="19" t="n"/>
      <c r="M289" s="19" t="n"/>
      <c r="N289" s="19" t="n"/>
      <c r="O289" s="23">
        <f>IF(J289="","",H289+I289)</f>
        <v/>
      </c>
      <c r="P289" s="23">
        <f>IF(J289="","",J289-O289)</f>
        <v/>
      </c>
      <c r="Q289" s="24">
        <f>IF(OR(J289="",J289=0),"",P289/J289)</f>
        <v/>
      </c>
      <c r="R289" s="25">
        <f>IF(OR(A289="",B289=""),"",B289-A289)</f>
        <v/>
      </c>
      <c r="S289" s="26">
        <f>IF(B289="","",YEAR(B289))</f>
        <v/>
      </c>
      <c r="T289" s="27">
        <f>IF(B289="","",IF(OR(F289="Electric",F289="Plug-in",F289="Hibrid"),1,0))</f>
        <v/>
      </c>
    </row>
    <row r="290">
      <c r="A290" s="18" t="n"/>
      <c r="B290" s="18" t="n"/>
      <c r="C290" s="19" t="n"/>
      <c r="D290" s="19" t="n"/>
      <c r="E290" s="20" t="n"/>
      <c r="F290" s="19" t="n"/>
      <c r="G290" s="21" t="n"/>
      <c r="H290" s="22" t="n"/>
      <c r="I290" s="22" t="n"/>
      <c r="J290" s="22" t="n"/>
      <c r="K290" s="19" t="n"/>
      <c r="L290" s="19" t="n"/>
      <c r="M290" s="19" t="n"/>
      <c r="N290" s="19" t="n"/>
      <c r="O290" s="23">
        <f>IF(J290="","",H290+I290)</f>
        <v/>
      </c>
      <c r="P290" s="23">
        <f>IF(J290="","",J290-O290)</f>
        <v/>
      </c>
      <c r="Q290" s="24">
        <f>IF(OR(J290="",J290=0),"",P290/J290)</f>
        <v/>
      </c>
      <c r="R290" s="25">
        <f>IF(OR(A290="",B290=""),"",B290-A290)</f>
        <v/>
      </c>
      <c r="S290" s="26">
        <f>IF(B290="","",YEAR(B290))</f>
        <v/>
      </c>
      <c r="T290" s="27">
        <f>IF(B290="","",IF(OR(F290="Electric",F290="Plug-in",F290="Hibrid"),1,0))</f>
        <v/>
      </c>
    </row>
    <row r="291">
      <c r="A291" s="18" t="n"/>
      <c r="B291" s="18" t="n"/>
      <c r="C291" s="19" t="n"/>
      <c r="D291" s="19" t="n"/>
      <c r="E291" s="20" t="n"/>
      <c r="F291" s="19" t="n"/>
      <c r="G291" s="21" t="n"/>
      <c r="H291" s="22" t="n"/>
      <c r="I291" s="22" t="n"/>
      <c r="J291" s="22" t="n"/>
      <c r="K291" s="19" t="n"/>
      <c r="L291" s="19" t="n"/>
      <c r="M291" s="19" t="n"/>
      <c r="N291" s="19" t="n"/>
      <c r="O291" s="23">
        <f>IF(J291="","",H291+I291)</f>
        <v/>
      </c>
      <c r="P291" s="23">
        <f>IF(J291="","",J291-O291)</f>
        <v/>
      </c>
      <c r="Q291" s="24">
        <f>IF(OR(J291="",J291=0),"",P291/J291)</f>
        <v/>
      </c>
      <c r="R291" s="25">
        <f>IF(OR(A291="",B291=""),"",B291-A291)</f>
        <v/>
      </c>
      <c r="S291" s="26">
        <f>IF(B291="","",YEAR(B291))</f>
        <v/>
      </c>
      <c r="T291" s="27">
        <f>IF(B291="","",IF(OR(F291="Electric",F291="Plug-in",F291="Hibrid"),1,0))</f>
        <v/>
      </c>
    </row>
    <row r="292">
      <c r="A292" s="18" t="n"/>
      <c r="B292" s="18" t="n"/>
      <c r="C292" s="19" t="n"/>
      <c r="D292" s="19" t="n"/>
      <c r="E292" s="20" t="n"/>
      <c r="F292" s="19" t="n"/>
      <c r="G292" s="21" t="n"/>
      <c r="H292" s="22" t="n"/>
      <c r="I292" s="22" t="n"/>
      <c r="J292" s="22" t="n"/>
      <c r="K292" s="19" t="n"/>
      <c r="L292" s="19" t="n"/>
      <c r="M292" s="19" t="n"/>
      <c r="N292" s="19" t="n"/>
      <c r="O292" s="23">
        <f>IF(J292="","",H292+I292)</f>
        <v/>
      </c>
      <c r="P292" s="23">
        <f>IF(J292="","",J292-O292)</f>
        <v/>
      </c>
      <c r="Q292" s="24">
        <f>IF(OR(J292="",J292=0),"",P292/J292)</f>
        <v/>
      </c>
      <c r="R292" s="25">
        <f>IF(OR(A292="",B292=""),"",B292-A292)</f>
        <v/>
      </c>
      <c r="S292" s="26">
        <f>IF(B292="","",YEAR(B292))</f>
        <v/>
      </c>
      <c r="T292" s="27">
        <f>IF(B292="","",IF(OR(F292="Electric",F292="Plug-in",F292="Hibrid"),1,0))</f>
        <v/>
      </c>
    </row>
    <row r="293">
      <c r="A293" s="18" t="n"/>
      <c r="B293" s="18" t="n"/>
      <c r="C293" s="19" t="n"/>
      <c r="D293" s="19" t="n"/>
      <c r="E293" s="20" t="n"/>
      <c r="F293" s="19" t="n"/>
      <c r="G293" s="21" t="n"/>
      <c r="H293" s="22" t="n"/>
      <c r="I293" s="22" t="n"/>
      <c r="J293" s="22" t="n"/>
      <c r="K293" s="19" t="n"/>
      <c r="L293" s="19" t="n"/>
      <c r="M293" s="19" t="n"/>
      <c r="N293" s="19" t="n"/>
      <c r="O293" s="23">
        <f>IF(J293="","",H293+I293)</f>
        <v/>
      </c>
      <c r="P293" s="23">
        <f>IF(J293="","",J293-O293)</f>
        <v/>
      </c>
      <c r="Q293" s="24">
        <f>IF(OR(J293="",J293=0),"",P293/J293)</f>
        <v/>
      </c>
      <c r="R293" s="25">
        <f>IF(OR(A293="",B293=""),"",B293-A293)</f>
        <v/>
      </c>
      <c r="S293" s="26">
        <f>IF(B293="","",YEAR(B293))</f>
        <v/>
      </c>
      <c r="T293" s="27">
        <f>IF(B293="","",IF(OR(F293="Electric",F293="Plug-in",F293="Hibrid"),1,0))</f>
        <v/>
      </c>
    </row>
    <row r="294">
      <c r="A294" s="18" t="n"/>
      <c r="B294" s="18" t="n"/>
      <c r="C294" s="19" t="n"/>
      <c r="D294" s="19" t="n"/>
      <c r="E294" s="20" t="n"/>
      <c r="F294" s="19" t="n"/>
      <c r="G294" s="21" t="n"/>
      <c r="H294" s="22" t="n"/>
      <c r="I294" s="22" t="n"/>
      <c r="J294" s="22" t="n"/>
      <c r="K294" s="19" t="n"/>
      <c r="L294" s="19" t="n"/>
      <c r="M294" s="19" t="n"/>
      <c r="N294" s="19" t="n"/>
      <c r="O294" s="23">
        <f>IF(J294="","",H294+I294)</f>
        <v/>
      </c>
      <c r="P294" s="23">
        <f>IF(J294="","",J294-O294)</f>
        <v/>
      </c>
      <c r="Q294" s="24">
        <f>IF(OR(J294="",J294=0),"",P294/J294)</f>
        <v/>
      </c>
      <c r="R294" s="25">
        <f>IF(OR(A294="",B294=""),"",B294-A294)</f>
        <v/>
      </c>
      <c r="S294" s="26">
        <f>IF(B294="","",YEAR(B294))</f>
        <v/>
      </c>
      <c r="T294" s="27">
        <f>IF(B294="","",IF(OR(F294="Electric",F294="Plug-in",F294="Hibrid"),1,0))</f>
        <v/>
      </c>
    </row>
    <row r="295">
      <c r="A295" s="18" t="n"/>
      <c r="B295" s="18" t="n"/>
      <c r="C295" s="19" t="n"/>
      <c r="D295" s="19" t="n"/>
      <c r="E295" s="20" t="n"/>
      <c r="F295" s="19" t="n"/>
      <c r="G295" s="21" t="n"/>
      <c r="H295" s="22" t="n"/>
      <c r="I295" s="22" t="n"/>
      <c r="J295" s="22" t="n"/>
      <c r="K295" s="19" t="n"/>
      <c r="L295" s="19" t="n"/>
      <c r="M295" s="19" t="n"/>
      <c r="N295" s="19" t="n"/>
      <c r="O295" s="23">
        <f>IF(J295="","",H295+I295)</f>
        <v/>
      </c>
      <c r="P295" s="23">
        <f>IF(J295="","",J295-O295)</f>
        <v/>
      </c>
      <c r="Q295" s="24">
        <f>IF(OR(J295="",J295=0),"",P295/J295)</f>
        <v/>
      </c>
      <c r="R295" s="25">
        <f>IF(OR(A295="",B295=""),"",B295-A295)</f>
        <v/>
      </c>
      <c r="S295" s="26">
        <f>IF(B295="","",YEAR(B295))</f>
        <v/>
      </c>
      <c r="T295" s="27">
        <f>IF(B295="","",IF(OR(F295="Electric",F295="Plug-in",F295="Hibrid"),1,0))</f>
        <v/>
      </c>
    </row>
    <row r="296">
      <c r="A296" s="18" t="n"/>
      <c r="B296" s="18" t="n"/>
      <c r="C296" s="19" t="n"/>
      <c r="D296" s="19" t="n"/>
      <c r="E296" s="20" t="n"/>
      <c r="F296" s="19" t="n"/>
      <c r="G296" s="21" t="n"/>
      <c r="H296" s="22" t="n"/>
      <c r="I296" s="22" t="n"/>
      <c r="J296" s="22" t="n"/>
      <c r="K296" s="19" t="n"/>
      <c r="L296" s="19" t="n"/>
      <c r="M296" s="19" t="n"/>
      <c r="N296" s="19" t="n"/>
      <c r="O296" s="23">
        <f>IF(J296="","",H296+I296)</f>
        <v/>
      </c>
      <c r="P296" s="23">
        <f>IF(J296="","",J296-O296)</f>
        <v/>
      </c>
      <c r="Q296" s="24">
        <f>IF(OR(J296="",J296=0),"",P296/J296)</f>
        <v/>
      </c>
      <c r="R296" s="25">
        <f>IF(OR(A296="",B296=""),"",B296-A296)</f>
        <v/>
      </c>
      <c r="S296" s="26">
        <f>IF(B296="","",YEAR(B296))</f>
        <v/>
      </c>
      <c r="T296" s="27">
        <f>IF(B296="","",IF(OR(F296="Electric",F296="Plug-in",F296="Hibrid"),1,0))</f>
        <v/>
      </c>
    </row>
    <row r="297">
      <c r="A297" s="18" t="n"/>
      <c r="B297" s="18" t="n"/>
      <c r="C297" s="19" t="n"/>
      <c r="D297" s="19" t="n"/>
      <c r="E297" s="20" t="n"/>
      <c r="F297" s="19" t="n"/>
      <c r="G297" s="21" t="n"/>
      <c r="H297" s="22" t="n"/>
      <c r="I297" s="22" t="n"/>
      <c r="J297" s="22" t="n"/>
      <c r="K297" s="19" t="n"/>
      <c r="L297" s="19" t="n"/>
      <c r="M297" s="19" t="n"/>
      <c r="N297" s="19" t="n"/>
      <c r="O297" s="23">
        <f>IF(J297="","",H297+I297)</f>
        <v/>
      </c>
      <c r="P297" s="23">
        <f>IF(J297="","",J297-O297)</f>
        <v/>
      </c>
      <c r="Q297" s="24">
        <f>IF(OR(J297="",J297=0),"",P297/J297)</f>
        <v/>
      </c>
      <c r="R297" s="25">
        <f>IF(OR(A297="",B297=""),"",B297-A297)</f>
        <v/>
      </c>
      <c r="S297" s="26">
        <f>IF(B297="","",YEAR(B297))</f>
        <v/>
      </c>
      <c r="T297" s="27">
        <f>IF(B297="","",IF(OR(F297="Electric",F297="Plug-in",F297="Hibrid"),1,0))</f>
        <v/>
      </c>
    </row>
    <row r="298">
      <c r="A298" s="18" t="n"/>
      <c r="B298" s="18" t="n"/>
      <c r="C298" s="19" t="n"/>
      <c r="D298" s="19" t="n"/>
      <c r="E298" s="20" t="n"/>
      <c r="F298" s="19" t="n"/>
      <c r="G298" s="21" t="n"/>
      <c r="H298" s="22" t="n"/>
      <c r="I298" s="22" t="n"/>
      <c r="J298" s="22" t="n"/>
      <c r="K298" s="19" t="n"/>
      <c r="L298" s="19" t="n"/>
      <c r="M298" s="19" t="n"/>
      <c r="N298" s="19" t="n"/>
      <c r="O298" s="23">
        <f>IF(J298="","",H298+I298)</f>
        <v/>
      </c>
      <c r="P298" s="23">
        <f>IF(J298="","",J298-O298)</f>
        <v/>
      </c>
      <c r="Q298" s="24">
        <f>IF(OR(J298="",J298=0),"",P298/J298)</f>
        <v/>
      </c>
      <c r="R298" s="25">
        <f>IF(OR(A298="",B298=""),"",B298-A298)</f>
        <v/>
      </c>
      <c r="S298" s="26">
        <f>IF(B298="","",YEAR(B298))</f>
        <v/>
      </c>
      <c r="T298" s="27">
        <f>IF(B298="","",IF(OR(F298="Electric",F298="Plug-in",F298="Hibrid"),1,0))</f>
        <v/>
      </c>
    </row>
    <row r="299">
      <c r="A299" s="18" t="n"/>
      <c r="B299" s="18" t="n"/>
      <c r="C299" s="19" t="n"/>
      <c r="D299" s="19" t="n"/>
      <c r="E299" s="20" t="n"/>
      <c r="F299" s="19" t="n"/>
      <c r="G299" s="21" t="n"/>
      <c r="H299" s="22" t="n"/>
      <c r="I299" s="22" t="n"/>
      <c r="J299" s="22" t="n"/>
      <c r="K299" s="19" t="n"/>
      <c r="L299" s="19" t="n"/>
      <c r="M299" s="19" t="n"/>
      <c r="N299" s="19" t="n"/>
      <c r="O299" s="23">
        <f>IF(J299="","",H299+I299)</f>
        <v/>
      </c>
      <c r="P299" s="23">
        <f>IF(J299="","",J299-O299)</f>
        <v/>
      </c>
      <c r="Q299" s="24">
        <f>IF(OR(J299="",J299=0),"",P299/J299)</f>
        <v/>
      </c>
      <c r="R299" s="25">
        <f>IF(OR(A299="",B299=""),"",B299-A299)</f>
        <v/>
      </c>
      <c r="S299" s="26">
        <f>IF(B299="","",YEAR(B299))</f>
        <v/>
      </c>
      <c r="T299" s="27">
        <f>IF(B299="","",IF(OR(F299="Electric",F299="Plug-in",F299="Hibrid"),1,0))</f>
        <v/>
      </c>
    </row>
    <row r="300">
      <c r="A300" s="18" t="n"/>
      <c r="B300" s="18" t="n"/>
      <c r="C300" s="19" t="n"/>
      <c r="D300" s="19" t="n"/>
      <c r="E300" s="20" t="n"/>
      <c r="F300" s="19" t="n"/>
      <c r="G300" s="21" t="n"/>
      <c r="H300" s="22" t="n"/>
      <c r="I300" s="22" t="n"/>
      <c r="J300" s="22" t="n"/>
      <c r="K300" s="19" t="n"/>
      <c r="L300" s="19" t="n"/>
      <c r="M300" s="19" t="n"/>
      <c r="N300" s="19" t="n"/>
      <c r="O300" s="23">
        <f>IF(J300="","",H300+I300)</f>
        <v/>
      </c>
      <c r="P300" s="23">
        <f>IF(J300="","",J300-O300)</f>
        <v/>
      </c>
      <c r="Q300" s="24">
        <f>IF(OR(J300="",J300=0),"",P300/J300)</f>
        <v/>
      </c>
      <c r="R300" s="25">
        <f>IF(OR(A300="",B300=""),"",B300-A300)</f>
        <v/>
      </c>
      <c r="S300" s="26">
        <f>IF(B300="","",YEAR(B300))</f>
        <v/>
      </c>
      <c r="T300" s="27">
        <f>IF(B300="","",IF(OR(F300="Electric",F300="Plug-in",F300="Hibrid"),1,0))</f>
        <v/>
      </c>
    </row>
    <row r="301">
      <c r="A301" s="18" t="n"/>
      <c r="B301" s="18" t="n"/>
      <c r="C301" s="19" t="n"/>
      <c r="D301" s="19" t="n"/>
      <c r="E301" s="20" t="n"/>
      <c r="F301" s="19" t="n"/>
      <c r="G301" s="21" t="n"/>
      <c r="H301" s="22" t="n"/>
      <c r="I301" s="22" t="n"/>
      <c r="J301" s="22" t="n"/>
      <c r="K301" s="19" t="n"/>
      <c r="L301" s="19" t="n"/>
      <c r="M301" s="19" t="n"/>
      <c r="N301" s="19" t="n"/>
      <c r="O301" s="23">
        <f>IF(J301="","",H301+I301)</f>
        <v/>
      </c>
      <c r="P301" s="23">
        <f>IF(J301="","",J301-O301)</f>
        <v/>
      </c>
      <c r="Q301" s="24">
        <f>IF(OR(J301="",J301=0),"",P301/J301)</f>
        <v/>
      </c>
      <c r="R301" s="25">
        <f>IF(OR(A301="",B301=""),"",B301-A301)</f>
        <v/>
      </c>
      <c r="S301" s="26">
        <f>IF(B301="","",YEAR(B301))</f>
        <v/>
      </c>
      <c r="T301" s="27">
        <f>IF(B301="","",IF(OR(F301="Electric",F301="Plug-in",F301="Hibrid"),1,0))</f>
        <v/>
      </c>
    </row>
    <row r="302">
      <c r="A302" s="18" t="n"/>
      <c r="B302" s="18" t="n"/>
      <c r="C302" s="19" t="n"/>
      <c r="D302" s="19" t="n"/>
      <c r="E302" s="20" t="n"/>
      <c r="F302" s="19" t="n"/>
      <c r="G302" s="21" t="n"/>
      <c r="H302" s="22" t="n"/>
      <c r="I302" s="22" t="n"/>
      <c r="J302" s="22" t="n"/>
      <c r="K302" s="19" t="n"/>
      <c r="L302" s="19" t="n"/>
      <c r="M302" s="19" t="n"/>
      <c r="N302" s="19" t="n"/>
      <c r="O302" s="23">
        <f>IF(J302="","",H302+I302)</f>
        <v/>
      </c>
      <c r="P302" s="23">
        <f>IF(J302="","",J302-O302)</f>
        <v/>
      </c>
      <c r="Q302" s="24">
        <f>IF(OR(J302="",J302=0),"",P302/J302)</f>
        <v/>
      </c>
      <c r="R302" s="25">
        <f>IF(OR(A302="",B302=""),"",B302-A302)</f>
        <v/>
      </c>
      <c r="S302" s="26">
        <f>IF(B302="","",YEAR(B302))</f>
        <v/>
      </c>
      <c r="T302" s="27">
        <f>IF(B302="","",IF(OR(F302="Electric",F302="Plug-in",F302="Hibrid"),1,0))</f>
        <v/>
      </c>
    </row>
    <row r="303">
      <c r="A303" s="18" t="n"/>
      <c r="B303" s="18" t="n"/>
      <c r="C303" s="19" t="n"/>
      <c r="D303" s="19" t="n"/>
      <c r="E303" s="20" t="n"/>
      <c r="F303" s="19" t="n"/>
      <c r="G303" s="21" t="n"/>
      <c r="H303" s="22" t="n"/>
      <c r="I303" s="22" t="n"/>
      <c r="J303" s="22" t="n"/>
      <c r="K303" s="19" t="n"/>
      <c r="L303" s="19" t="n"/>
      <c r="M303" s="19" t="n"/>
      <c r="N303" s="19" t="n"/>
      <c r="O303" s="23">
        <f>IF(J303="","",H303+I303)</f>
        <v/>
      </c>
      <c r="P303" s="23">
        <f>IF(J303="","",J303-O303)</f>
        <v/>
      </c>
      <c r="Q303" s="24">
        <f>IF(OR(J303="",J303=0),"",P303/J303)</f>
        <v/>
      </c>
      <c r="R303" s="25">
        <f>IF(OR(A303="",B303=""),"",B303-A303)</f>
        <v/>
      </c>
      <c r="S303" s="26">
        <f>IF(B303="","",YEAR(B303))</f>
        <v/>
      </c>
      <c r="T303" s="27">
        <f>IF(B303="","",IF(OR(F303="Electric",F303="Plug-in",F303="Hibrid"),1,0))</f>
        <v/>
      </c>
    </row>
    <row r="304">
      <c r="A304" s="18" t="n"/>
      <c r="B304" s="18" t="n"/>
      <c r="C304" s="19" t="n"/>
      <c r="D304" s="19" t="n"/>
      <c r="E304" s="20" t="n"/>
      <c r="F304" s="19" t="n"/>
      <c r="G304" s="21" t="n"/>
      <c r="H304" s="22" t="n"/>
      <c r="I304" s="22" t="n"/>
      <c r="J304" s="22" t="n"/>
      <c r="K304" s="19" t="n"/>
      <c r="L304" s="19" t="n"/>
      <c r="M304" s="19" t="n"/>
      <c r="N304" s="19" t="n"/>
      <c r="O304" s="23">
        <f>IF(J304="","",H304+I304)</f>
        <v/>
      </c>
      <c r="P304" s="23">
        <f>IF(J304="","",J304-O304)</f>
        <v/>
      </c>
      <c r="Q304" s="24">
        <f>IF(OR(J304="",J304=0),"",P304/J304)</f>
        <v/>
      </c>
      <c r="R304" s="25">
        <f>IF(OR(A304="",B304=""),"",B304-A304)</f>
        <v/>
      </c>
      <c r="S304" s="26">
        <f>IF(B304="","",YEAR(B304))</f>
        <v/>
      </c>
      <c r="T304" s="27">
        <f>IF(B304="","",IF(OR(F304="Electric",F304="Plug-in",F304="Hibrid"),1,0))</f>
        <v/>
      </c>
    </row>
    <row r="305">
      <c r="A305" s="18" t="n"/>
      <c r="B305" s="18" t="n"/>
      <c r="C305" s="19" t="n"/>
      <c r="D305" s="19" t="n"/>
      <c r="E305" s="20" t="n"/>
      <c r="F305" s="19" t="n"/>
      <c r="G305" s="21" t="n"/>
      <c r="H305" s="22" t="n"/>
      <c r="I305" s="22" t="n"/>
      <c r="J305" s="22" t="n"/>
      <c r="K305" s="19" t="n"/>
      <c r="L305" s="19" t="n"/>
      <c r="M305" s="19" t="n"/>
      <c r="N305" s="19" t="n"/>
      <c r="O305" s="23">
        <f>IF(J305="","",H305+I305)</f>
        <v/>
      </c>
      <c r="P305" s="23">
        <f>IF(J305="","",J305-O305)</f>
        <v/>
      </c>
      <c r="Q305" s="24">
        <f>IF(OR(J305="",J305=0),"",P305/J305)</f>
        <v/>
      </c>
      <c r="R305" s="25">
        <f>IF(OR(A305="",B305=""),"",B305-A305)</f>
        <v/>
      </c>
      <c r="S305" s="26">
        <f>IF(B305="","",YEAR(B305))</f>
        <v/>
      </c>
      <c r="T305" s="27">
        <f>IF(B305="","",IF(OR(F305="Electric",F305="Plug-in",F305="Hibrid"),1,0))</f>
        <v/>
      </c>
    </row>
    <row r="306">
      <c r="A306" s="18" t="n"/>
      <c r="B306" s="18" t="n"/>
      <c r="C306" s="19" t="n"/>
      <c r="D306" s="19" t="n"/>
      <c r="E306" s="20" t="n"/>
      <c r="F306" s="19" t="n"/>
      <c r="G306" s="21" t="n"/>
      <c r="H306" s="22" t="n"/>
      <c r="I306" s="22" t="n"/>
      <c r="J306" s="22" t="n"/>
      <c r="K306" s="19" t="n"/>
      <c r="L306" s="19" t="n"/>
      <c r="M306" s="19" t="n"/>
      <c r="N306" s="19" t="n"/>
      <c r="O306" s="23">
        <f>IF(J306="","",H306+I306)</f>
        <v/>
      </c>
      <c r="P306" s="23">
        <f>IF(J306="","",J306-O306)</f>
        <v/>
      </c>
      <c r="Q306" s="24">
        <f>IF(OR(J306="",J306=0),"",P306/J306)</f>
        <v/>
      </c>
      <c r="R306" s="25">
        <f>IF(OR(A306="",B306=""),"",B306-A306)</f>
        <v/>
      </c>
      <c r="S306" s="26">
        <f>IF(B306="","",YEAR(B306))</f>
        <v/>
      </c>
      <c r="T306" s="27">
        <f>IF(B306="","",IF(OR(F306="Electric",F306="Plug-in",F306="Hibrid"),1,0))</f>
        <v/>
      </c>
    </row>
    <row r="307">
      <c r="A307" s="18" t="n"/>
      <c r="B307" s="18" t="n"/>
      <c r="C307" s="19" t="n"/>
      <c r="D307" s="19" t="n"/>
      <c r="E307" s="20" t="n"/>
      <c r="F307" s="19" t="n"/>
      <c r="G307" s="21" t="n"/>
      <c r="H307" s="22" t="n"/>
      <c r="I307" s="22" t="n"/>
      <c r="J307" s="22" t="n"/>
      <c r="K307" s="19" t="n"/>
      <c r="L307" s="19" t="n"/>
      <c r="M307" s="19" t="n"/>
      <c r="N307" s="19" t="n"/>
      <c r="O307" s="23">
        <f>IF(J307="","",H307+I307)</f>
        <v/>
      </c>
      <c r="P307" s="23">
        <f>IF(J307="","",J307-O307)</f>
        <v/>
      </c>
      <c r="Q307" s="24">
        <f>IF(OR(J307="",J307=0),"",P307/J307)</f>
        <v/>
      </c>
      <c r="R307" s="25">
        <f>IF(OR(A307="",B307=""),"",B307-A307)</f>
        <v/>
      </c>
      <c r="S307" s="26">
        <f>IF(B307="","",YEAR(B307))</f>
        <v/>
      </c>
      <c r="T307" s="27">
        <f>IF(B307="","",IF(OR(F307="Electric",F307="Plug-in",F307="Hibrid"),1,0))</f>
        <v/>
      </c>
    </row>
    <row r="308">
      <c r="A308" s="18" t="n"/>
      <c r="B308" s="18" t="n"/>
      <c r="C308" s="19" t="n"/>
      <c r="D308" s="19" t="n"/>
      <c r="E308" s="20" t="n"/>
      <c r="F308" s="19" t="n"/>
      <c r="G308" s="21" t="n"/>
      <c r="H308" s="22" t="n"/>
      <c r="I308" s="22" t="n"/>
      <c r="J308" s="22" t="n"/>
      <c r="K308" s="19" t="n"/>
      <c r="L308" s="19" t="n"/>
      <c r="M308" s="19" t="n"/>
      <c r="N308" s="19" t="n"/>
      <c r="O308" s="23">
        <f>IF(J308="","",H308+I308)</f>
        <v/>
      </c>
      <c r="P308" s="23">
        <f>IF(J308="","",J308-O308)</f>
        <v/>
      </c>
      <c r="Q308" s="24">
        <f>IF(OR(J308="",J308=0),"",P308/J308)</f>
        <v/>
      </c>
      <c r="R308" s="25">
        <f>IF(OR(A308="",B308=""),"",B308-A308)</f>
        <v/>
      </c>
      <c r="S308" s="26">
        <f>IF(B308="","",YEAR(B308))</f>
        <v/>
      </c>
      <c r="T308" s="27">
        <f>IF(B308="","",IF(OR(F308="Electric",F308="Plug-in",F308="Hibrid"),1,0))</f>
        <v/>
      </c>
    </row>
    <row r="309">
      <c r="A309" s="18" t="n"/>
      <c r="B309" s="18" t="n"/>
      <c r="C309" s="19" t="n"/>
      <c r="D309" s="19" t="n"/>
      <c r="E309" s="20" t="n"/>
      <c r="F309" s="19" t="n"/>
      <c r="G309" s="21" t="n"/>
      <c r="H309" s="22" t="n"/>
      <c r="I309" s="22" t="n"/>
      <c r="J309" s="22" t="n"/>
      <c r="K309" s="19" t="n"/>
      <c r="L309" s="19" t="n"/>
      <c r="M309" s="19" t="n"/>
      <c r="N309" s="19" t="n"/>
      <c r="O309" s="23">
        <f>IF(J309="","",H309+I309)</f>
        <v/>
      </c>
      <c r="P309" s="23">
        <f>IF(J309="","",J309-O309)</f>
        <v/>
      </c>
      <c r="Q309" s="24">
        <f>IF(OR(J309="",J309=0),"",P309/J309)</f>
        <v/>
      </c>
      <c r="R309" s="25">
        <f>IF(OR(A309="",B309=""),"",B309-A309)</f>
        <v/>
      </c>
      <c r="S309" s="26">
        <f>IF(B309="","",YEAR(B309))</f>
        <v/>
      </c>
      <c r="T309" s="27">
        <f>IF(B309="","",IF(OR(F309="Electric",F309="Plug-in",F309="Hibrid"),1,0))</f>
        <v/>
      </c>
    </row>
    <row r="310">
      <c r="A310" s="18" t="n"/>
      <c r="B310" s="18" t="n"/>
      <c r="C310" s="19" t="n"/>
      <c r="D310" s="19" t="n"/>
      <c r="E310" s="20" t="n"/>
      <c r="F310" s="19" t="n"/>
      <c r="G310" s="21" t="n"/>
      <c r="H310" s="22" t="n"/>
      <c r="I310" s="22" t="n"/>
      <c r="J310" s="22" t="n"/>
      <c r="K310" s="19" t="n"/>
      <c r="L310" s="19" t="n"/>
      <c r="M310" s="19" t="n"/>
      <c r="N310" s="19" t="n"/>
      <c r="O310" s="23">
        <f>IF(J310="","",H310+I310)</f>
        <v/>
      </c>
      <c r="P310" s="23">
        <f>IF(J310="","",J310-O310)</f>
        <v/>
      </c>
      <c r="Q310" s="24">
        <f>IF(OR(J310="",J310=0),"",P310/J310)</f>
        <v/>
      </c>
      <c r="R310" s="25">
        <f>IF(OR(A310="",B310=""),"",B310-A310)</f>
        <v/>
      </c>
      <c r="S310" s="26">
        <f>IF(B310="","",YEAR(B310))</f>
        <v/>
      </c>
      <c r="T310" s="27">
        <f>IF(B310="","",IF(OR(F310="Electric",F310="Plug-in",F310="Hibrid"),1,0))</f>
        <v/>
      </c>
    </row>
    <row r="311">
      <c r="A311" s="18" t="n"/>
      <c r="B311" s="18" t="n"/>
      <c r="C311" s="19" t="n"/>
      <c r="D311" s="19" t="n"/>
      <c r="E311" s="20" t="n"/>
      <c r="F311" s="19" t="n"/>
      <c r="G311" s="21" t="n"/>
      <c r="H311" s="22" t="n"/>
      <c r="I311" s="22" t="n"/>
      <c r="J311" s="22" t="n"/>
      <c r="K311" s="19" t="n"/>
      <c r="L311" s="19" t="n"/>
      <c r="M311" s="19" t="n"/>
      <c r="N311" s="19" t="n"/>
      <c r="O311" s="23">
        <f>IF(J311="","",H311+I311)</f>
        <v/>
      </c>
      <c r="P311" s="23">
        <f>IF(J311="","",J311-O311)</f>
        <v/>
      </c>
      <c r="Q311" s="24">
        <f>IF(OR(J311="",J311=0),"",P311/J311)</f>
        <v/>
      </c>
      <c r="R311" s="25">
        <f>IF(OR(A311="",B311=""),"",B311-A311)</f>
        <v/>
      </c>
      <c r="S311" s="26">
        <f>IF(B311="","",YEAR(B311))</f>
        <v/>
      </c>
      <c r="T311" s="27">
        <f>IF(B311="","",IF(OR(F311="Electric",F311="Plug-in",F311="Hibrid"),1,0))</f>
        <v/>
      </c>
    </row>
    <row r="312">
      <c r="A312" s="18" t="n"/>
      <c r="B312" s="18" t="n"/>
      <c r="C312" s="19" t="n"/>
      <c r="D312" s="19" t="n"/>
      <c r="E312" s="20" t="n"/>
      <c r="F312" s="19" t="n"/>
      <c r="G312" s="21" t="n"/>
      <c r="H312" s="22" t="n"/>
      <c r="I312" s="22" t="n"/>
      <c r="J312" s="22" t="n"/>
      <c r="K312" s="19" t="n"/>
      <c r="L312" s="19" t="n"/>
      <c r="M312" s="19" t="n"/>
      <c r="N312" s="19" t="n"/>
      <c r="O312" s="23">
        <f>IF(J312="","",H312+I312)</f>
        <v/>
      </c>
      <c r="P312" s="23">
        <f>IF(J312="","",J312-O312)</f>
        <v/>
      </c>
      <c r="Q312" s="24">
        <f>IF(OR(J312="",J312=0),"",P312/J312)</f>
        <v/>
      </c>
      <c r="R312" s="25">
        <f>IF(OR(A312="",B312=""),"",B312-A312)</f>
        <v/>
      </c>
      <c r="S312" s="26">
        <f>IF(B312="","",YEAR(B312))</f>
        <v/>
      </c>
      <c r="T312" s="27">
        <f>IF(B312="","",IF(OR(F312="Electric",F312="Plug-in",F312="Hibrid"),1,0))</f>
        <v/>
      </c>
    </row>
    <row r="313">
      <c r="A313" s="18" t="n"/>
      <c r="B313" s="18" t="n"/>
      <c r="C313" s="19" t="n"/>
      <c r="D313" s="19" t="n"/>
      <c r="E313" s="20" t="n"/>
      <c r="F313" s="19" t="n"/>
      <c r="G313" s="21" t="n"/>
      <c r="H313" s="22" t="n"/>
      <c r="I313" s="22" t="n"/>
      <c r="J313" s="22" t="n"/>
      <c r="K313" s="19" t="n"/>
      <c r="L313" s="19" t="n"/>
      <c r="M313" s="19" t="n"/>
      <c r="N313" s="19" t="n"/>
      <c r="O313" s="23">
        <f>IF(J313="","",H313+I313)</f>
        <v/>
      </c>
      <c r="P313" s="23">
        <f>IF(J313="","",J313-O313)</f>
        <v/>
      </c>
      <c r="Q313" s="24">
        <f>IF(OR(J313="",J313=0),"",P313/J313)</f>
        <v/>
      </c>
      <c r="R313" s="25">
        <f>IF(OR(A313="",B313=""),"",B313-A313)</f>
        <v/>
      </c>
      <c r="S313" s="26">
        <f>IF(B313="","",YEAR(B313))</f>
        <v/>
      </c>
      <c r="T313" s="27">
        <f>IF(B313="","",IF(OR(F313="Electric",F313="Plug-in",F313="Hibrid"),1,0))</f>
        <v/>
      </c>
    </row>
    <row r="314">
      <c r="A314" s="18" t="n"/>
      <c r="B314" s="18" t="n"/>
      <c r="C314" s="19" t="n"/>
      <c r="D314" s="19" t="n"/>
      <c r="E314" s="20" t="n"/>
      <c r="F314" s="19" t="n"/>
      <c r="G314" s="21" t="n"/>
      <c r="H314" s="22" t="n"/>
      <c r="I314" s="22" t="n"/>
      <c r="J314" s="22" t="n"/>
      <c r="K314" s="19" t="n"/>
      <c r="L314" s="19" t="n"/>
      <c r="M314" s="19" t="n"/>
      <c r="N314" s="19" t="n"/>
      <c r="O314" s="23">
        <f>IF(J314="","",H314+I314)</f>
        <v/>
      </c>
      <c r="P314" s="23">
        <f>IF(J314="","",J314-O314)</f>
        <v/>
      </c>
      <c r="Q314" s="24">
        <f>IF(OR(J314="",J314=0),"",P314/J314)</f>
        <v/>
      </c>
      <c r="R314" s="25">
        <f>IF(OR(A314="",B314=""),"",B314-A314)</f>
        <v/>
      </c>
      <c r="S314" s="26">
        <f>IF(B314="","",YEAR(B314))</f>
        <v/>
      </c>
      <c r="T314" s="27">
        <f>IF(B314="","",IF(OR(F314="Electric",F314="Plug-in",F314="Hibrid"),1,0))</f>
        <v/>
      </c>
    </row>
    <row r="315">
      <c r="A315" s="18" t="n"/>
      <c r="B315" s="18" t="n"/>
      <c r="C315" s="19" t="n"/>
      <c r="D315" s="19" t="n"/>
      <c r="E315" s="20" t="n"/>
      <c r="F315" s="19" t="n"/>
      <c r="G315" s="21" t="n"/>
      <c r="H315" s="22" t="n"/>
      <c r="I315" s="22" t="n"/>
      <c r="J315" s="22" t="n"/>
      <c r="K315" s="19" t="n"/>
      <c r="L315" s="19" t="n"/>
      <c r="M315" s="19" t="n"/>
      <c r="N315" s="19" t="n"/>
      <c r="O315" s="23">
        <f>IF(J315="","",H315+I315)</f>
        <v/>
      </c>
      <c r="P315" s="23">
        <f>IF(J315="","",J315-O315)</f>
        <v/>
      </c>
      <c r="Q315" s="24">
        <f>IF(OR(J315="",J315=0),"",P315/J315)</f>
        <v/>
      </c>
      <c r="R315" s="25">
        <f>IF(OR(A315="",B315=""),"",B315-A315)</f>
        <v/>
      </c>
      <c r="S315" s="26">
        <f>IF(B315="","",YEAR(B315))</f>
        <v/>
      </c>
      <c r="T315" s="27">
        <f>IF(B315="","",IF(OR(F315="Electric",F315="Plug-in",F315="Hibrid"),1,0))</f>
        <v/>
      </c>
    </row>
    <row r="316">
      <c r="A316" s="18" t="n"/>
      <c r="B316" s="18" t="n"/>
      <c r="C316" s="19" t="n"/>
      <c r="D316" s="19" t="n"/>
      <c r="E316" s="20" t="n"/>
      <c r="F316" s="19" t="n"/>
      <c r="G316" s="21" t="n"/>
      <c r="H316" s="22" t="n"/>
      <c r="I316" s="22" t="n"/>
      <c r="J316" s="22" t="n"/>
      <c r="K316" s="19" t="n"/>
      <c r="L316" s="19" t="n"/>
      <c r="M316" s="19" t="n"/>
      <c r="N316" s="19" t="n"/>
      <c r="O316" s="23">
        <f>IF(J316="","",H316+I316)</f>
        <v/>
      </c>
      <c r="P316" s="23">
        <f>IF(J316="","",J316-O316)</f>
        <v/>
      </c>
      <c r="Q316" s="24">
        <f>IF(OR(J316="",J316=0),"",P316/J316)</f>
        <v/>
      </c>
      <c r="R316" s="25">
        <f>IF(OR(A316="",B316=""),"",B316-A316)</f>
        <v/>
      </c>
      <c r="S316" s="26">
        <f>IF(B316="","",YEAR(B316))</f>
        <v/>
      </c>
      <c r="T316" s="27">
        <f>IF(B316="","",IF(OR(F316="Electric",F316="Plug-in",F316="Hibrid"),1,0))</f>
        <v/>
      </c>
    </row>
    <row r="317">
      <c r="A317" s="18" t="n"/>
      <c r="B317" s="18" t="n"/>
      <c r="C317" s="19" t="n"/>
      <c r="D317" s="19" t="n"/>
      <c r="E317" s="20" t="n"/>
      <c r="F317" s="19" t="n"/>
      <c r="G317" s="21" t="n"/>
      <c r="H317" s="22" t="n"/>
      <c r="I317" s="22" t="n"/>
      <c r="J317" s="22" t="n"/>
      <c r="K317" s="19" t="n"/>
      <c r="L317" s="19" t="n"/>
      <c r="M317" s="19" t="n"/>
      <c r="N317" s="19" t="n"/>
      <c r="O317" s="23">
        <f>IF(J317="","",H317+I317)</f>
        <v/>
      </c>
      <c r="P317" s="23">
        <f>IF(J317="","",J317-O317)</f>
        <v/>
      </c>
      <c r="Q317" s="24">
        <f>IF(OR(J317="",J317=0),"",P317/J317)</f>
        <v/>
      </c>
      <c r="R317" s="25">
        <f>IF(OR(A317="",B317=""),"",B317-A317)</f>
        <v/>
      </c>
      <c r="S317" s="26">
        <f>IF(B317="","",YEAR(B317))</f>
        <v/>
      </c>
      <c r="T317" s="27">
        <f>IF(B317="","",IF(OR(F317="Electric",F317="Plug-in",F317="Hibrid"),1,0))</f>
        <v/>
      </c>
    </row>
    <row r="318">
      <c r="A318" s="18" t="n"/>
      <c r="B318" s="18" t="n"/>
      <c r="C318" s="19" t="n"/>
      <c r="D318" s="19" t="n"/>
      <c r="E318" s="20" t="n"/>
      <c r="F318" s="19" t="n"/>
      <c r="G318" s="21" t="n"/>
      <c r="H318" s="22" t="n"/>
      <c r="I318" s="22" t="n"/>
      <c r="J318" s="22" t="n"/>
      <c r="K318" s="19" t="n"/>
      <c r="L318" s="19" t="n"/>
      <c r="M318" s="19" t="n"/>
      <c r="N318" s="19" t="n"/>
      <c r="O318" s="23">
        <f>IF(J318="","",H318+I318)</f>
        <v/>
      </c>
      <c r="P318" s="23">
        <f>IF(J318="","",J318-O318)</f>
        <v/>
      </c>
      <c r="Q318" s="24">
        <f>IF(OR(J318="",J318=0),"",P318/J318)</f>
        <v/>
      </c>
      <c r="R318" s="25">
        <f>IF(OR(A318="",B318=""),"",B318-A318)</f>
        <v/>
      </c>
      <c r="S318" s="26">
        <f>IF(B318="","",YEAR(B318))</f>
        <v/>
      </c>
      <c r="T318" s="27">
        <f>IF(B318="","",IF(OR(F318="Electric",F318="Plug-in",F318="Hibrid"),1,0))</f>
        <v/>
      </c>
    </row>
    <row r="319">
      <c r="A319" s="18" t="n"/>
      <c r="B319" s="18" t="n"/>
      <c r="C319" s="19" t="n"/>
      <c r="D319" s="19" t="n"/>
      <c r="E319" s="20" t="n"/>
      <c r="F319" s="19" t="n"/>
      <c r="G319" s="21" t="n"/>
      <c r="H319" s="22" t="n"/>
      <c r="I319" s="22" t="n"/>
      <c r="J319" s="22" t="n"/>
      <c r="K319" s="19" t="n"/>
      <c r="L319" s="19" t="n"/>
      <c r="M319" s="19" t="n"/>
      <c r="N319" s="19" t="n"/>
      <c r="O319" s="23">
        <f>IF(J319="","",H319+I319)</f>
        <v/>
      </c>
      <c r="P319" s="23">
        <f>IF(J319="","",J319-O319)</f>
        <v/>
      </c>
      <c r="Q319" s="24">
        <f>IF(OR(J319="",J319=0),"",P319/J319)</f>
        <v/>
      </c>
      <c r="R319" s="25">
        <f>IF(OR(A319="",B319=""),"",B319-A319)</f>
        <v/>
      </c>
      <c r="S319" s="26">
        <f>IF(B319="","",YEAR(B319))</f>
        <v/>
      </c>
      <c r="T319" s="27">
        <f>IF(B319="","",IF(OR(F319="Electric",F319="Plug-in",F319="Hibrid"),1,0))</f>
        <v/>
      </c>
    </row>
    <row r="320">
      <c r="A320" s="18" t="n"/>
      <c r="B320" s="18" t="n"/>
      <c r="C320" s="19" t="n"/>
      <c r="D320" s="19" t="n"/>
      <c r="E320" s="20" t="n"/>
      <c r="F320" s="19" t="n"/>
      <c r="G320" s="21" t="n"/>
      <c r="H320" s="22" t="n"/>
      <c r="I320" s="22" t="n"/>
      <c r="J320" s="22" t="n"/>
      <c r="K320" s="19" t="n"/>
      <c r="L320" s="19" t="n"/>
      <c r="M320" s="19" t="n"/>
      <c r="N320" s="19" t="n"/>
      <c r="O320" s="23">
        <f>IF(J320="","",H320+I320)</f>
        <v/>
      </c>
      <c r="P320" s="23">
        <f>IF(J320="","",J320-O320)</f>
        <v/>
      </c>
      <c r="Q320" s="24">
        <f>IF(OR(J320="",J320=0),"",P320/J320)</f>
        <v/>
      </c>
      <c r="R320" s="25">
        <f>IF(OR(A320="",B320=""),"",B320-A320)</f>
        <v/>
      </c>
      <c r="S320" s="26">
        <f>IF(B320="","",YEAR(B320))</f>
        <v/>
      </c>
      <c r="T320" s="27">
        <f>IF(B320="","",IF(OR(F320="Electric",F320="Plug-in",F320="Hibrid"),1,0))</f>
        <v/>
      </c>
    </row>
    <row r="321">
      <c r="A321" s="18" t="n"/>
      <c r="B321" s="18" t="n"/>
      <c r="C321" s="19" t="n"/>
      <c r="D321" s="19" t="n"/>
      <c r="E321" s="20" t="n"/>
      <c r="F321" s="19" t="n"/>
      <c r="G321" s="21" t="n"/>
      <c r="H321" s="22" t="n"/>
      <c r="I321" s="22" t="n"/>
      <c r="J321" s="22" t="n"/>
      <c r="K321" s="19" t="n"/>
      <c r="L321" s="19" t="n"/>
      <c r="M321" s="19" t="n"/>
      <c r="N321" s="19" t="n"/>
      <c r="O321" s="23">
        <f>IF(J321="","",H321+I321)</f>
        <v/>
      </c>
      <c r="P321" s="23">
        <f>IF(J321="","",J321-O321)</f>
        <v/>
      </c>
      <c r="Q321" s="24">
        <f>IF(OR(J321="",J321=0),"",P321/J321)</f>
        <v/>
      </c>
      <c r="R321" s="25">
        <f>IF(OR(A321="",B321=""),"",B321-A321)</f>
        <v/>
      </c>
      <c r="S321" s="26">
        <f>IF(B321="","",YEAR(B321))</f>
        <v/>
      </c>
      <c r="T321" s="27">
        <f>IF(B321="","",IF(OR(F321="Electric",F321="Plug-in",F321="Hibrid"),1,0))</f>
        <v/>
      </c>
    </row>
    <row r="322">
      <c r="A322" s="18" t="n"/>
      <c r="B322" s="18" t="n"/>
      <c r="C322" s="19" t="n"/>
      <c r="D322" s="19" t="n"/>
      <c r="E322" s="20" t="n"/>
      <c r="F322" s="19" t="n"/>
      <c r="G322" s="21" t="n"/>
      <c r="H322" s="22" t="n"/>
      <c r="I322" s="22" t="n"/>
      <c r="J322" s="22" t="n"/>
      <c r="K322" s="19" t="n"/>
      <c r="L322" s="19" t="n"/>
      <c r="M322" s="19" t="n"/>
      <c r="N322" s="19" t="n"/>
      <c r="O322" s="23">
        <f>IF(J322="","",H322+I322)</f>
        <v/>
      </c>
      <c r="P322" s="23">
        <f>IF(J322="","",J322-O322)</f>
        <v/>
      </c>
      <c r="Q322" s="24">
        <f>IF(OR(J322="",J322=0),"",P322/J322)</f>
        <v/>
      </c>
      <c r="R322" s="25">
        <f>IF(OR(A322="",B322=""),"",B322-A322)</f>
        <v/>
      </c>
      <c r="S322" s="26">
        <f>IF(B322="","",YEAR(B322))</f>
        <v/>
      </c>
      <c r="T322" s="27">
        <f>IF(B322="","",IF(OR(F322="Electric",F322="Plug-in",F322="Hibrid"),1,0))</f>
        <v/>
      </c>
    </row>
    <row r="323">
      <c r="A323" s="18" t="n"/>
      <c r="B323" s="18" t="n"/>
      <c r="C323" s="19" t="n"/>
      <c r="D323" s="19" t="n"/>
      <c r="E323" s="20" t="n"/>
      <c r="F323" s="19" t="n"/>
      <c r="G323" s="21" t="n"/>
      <c r="H323" s="22" t="n"/>
      <c r="I323" s="22" t="n"/>
      <c r="J323" s="22" t="n"/>
      <c r="K323" s="19" t="n"/>
      <c r="L323" s="19" t="n"/>
      <c r="M323" s="19" t="n"/>
      <c r="N323" s="19" t="n"/>
      <c r="O323" s="23">
        <f>IF(J323="","",H323+I323)</f>
        <v/>
      </c>
      <c r="P323" s="23">
        <f>IF(J323="","",J323-O323)</f>
        <v/>
      </c>
      <c r="Q323" s="24">
        <f>IF(OR(J323="",J323=0),"",P323/J323)</f>
        <v/>
      </c>
      <c r="R323" s="25">
        <f>IF(OR(A323="",B323=""),"",B323-A323)</f>
        <v/>
      </c>
      <c r="S323" s="26">
        <f>IF(B323="","",YEAR(B323))</f>
        <v/>
      </c>
      <c r="T323" s="27">
        <f>IF(B323="","",IF(OR(F323="Electric",F323="Plug-in",F323="Hibrid"),1,0))</f>
        <v/>
      </c>
    </row>
    <row r="324">
      <c r="A324" s="18" t="n"/>
      <c r="B324" s="18" t="n"/>
      <c r="C324" s="19" t="n"/>
      <c r="D324" s="19" t="n"/>
      <c r="E324" s="20" t="n"/>
      <c r="F324" s="19" t="n"/>
      <c r="G324" s="21" t="n"/>
      <c r="H324" s="22" t="n"/>
      <c r="I324" s="22" t="n"/>
      <c r="J324" s="22" t="n"/>
      <c r="K324" s="19" t="n"/>
      <c r="L324" s="19" t="n"/>
      <c r="M324" s="19" t="n"/>
      <c r="N324" s="19" t="n"/>
      <c r="O324" s="23">
        <f>IF(J324="","",H324+I324)</f>
        <v/>
      </c>
      <c r="P324" s="23">
        <f>IF(J324="","",J324-O324)</f>
        <v/>
      </c>
      <c r="Q324" s="24">
        <f>IF(OR(J324="",J324=0),"",P324/J324)</f>
        <v/>
      </c>
      <c r="R324" s="25">
        <f>IF(OR(A324="",B324=""),"",B324-A324)</f>
        <v/>
      </c>
      <c r="S324" s="26">
        <f>IF(B324="","",YEAR(B324))</f>
        <v/>
      </c>
      <c r="T324" s="27">
        <f>IF(B324="","",IF(OR(F324="Electric",F324="Plug-in",F324="Hibrid"),1,0))</f>
        <v/>
      </c>
    </row>
    <row r="325">
      <c r="A325" s="18" t="n"/>
      <c r="B325" s="18" t="n"/>
      <c r="C325" s="19" t="n"/>
      <c r="D325" s="19" t="n"/>
      <c r="E325" s="20" t="n"/>
      <c r="F325" s="19" t="n"/>
      <c r="G325" s="21" t="n"/>
      <c r="H325" s="22" t="n"/>
      <c r="I325" s="22" t="n"/>
      <c r="J325" s="22" t="n"/>
      <c r="K325" s="19" t="n"/>
      <c r="L325" s="19" t="n"/>
      <c r="M325" s="19" t="n"/>
      <c r="N325" s="19" t="n"/>
      <c r="O325" s="23">
        <f>IF(J325="","",H325+I325)</f>
        <v/>
      </c>
      <c r="P325" s="23">
        <f>IF(J325="","",J325-O325)</f>
        <v/>
      </c>
      <c r="Q325" s="24">
        <f>IF(OR(J325="",J325=0),"",P325/J325)</f>
        <v/>
      </c>
      <c r="R325" s="25">
        <f>IF(OR(A325="",B325=""),"",B325-A325)</f>
        <v/>
      </c>
      <c r="S325" s="26">
        <f>IF(B325="","",YEAR(B325))</f>
        <v/>
      </c>
      <c r="T325" s="27">
        <f>IF(B325="","",IF(OR(F325="Electric",F325="Plug-in",F325="Hibrid"),1,0))</f>
        <v/>
      </c>
    </row>
    <row r="326">
      <c r="A326" s="18" t="n"/>
      <c r="B326" s="18" t="n"/>
      <c r="C326" s="19" t="n"/>
      <c r="D326" s="19" t="n"/>
      <c r="E326" s="20" t="n"/>
      <c r="F326" s="19" t="n"/>
      <c r="G326" s="21" t="n"/>
      <c r="H326" s="22" t="n"/>
      <c r="I326" s="22" t="n"/>
      <c r="J326" s="22" t="n"/>
      <c r="K326" s="19" t="n"/>
      <c r="L326" s="19" t="n"/>
      <c r="M326" s="19" t="n"/>
      <c r="N326" s="19" t="n"/>
      <c r="O326" s="23">
        <f>IF(J326="","",H326+I326)</f>
        <v/>
      </c>
      <c r="P326" s="23">
        <f>IF(J326="","",J326-O326)</f>
        <v/>
      </c>
      <c r="Q326" s="24">
        <f>IF(OR(J326="",J326=0),"",P326/J326)</f>
        <v/>
      </c>
      <c r="R326" s="25">
        <f>IF(OR(A326="",B326=""),"",B326-A326)</f>
        <v/>
      </c>
      <c r="S326" s="26">
        <f>IF(B326="","",YEAR(B326))</f>
        <v/>
      </c>
      <c r="T326" s="27">
        <f>IF(B326="","",IF(OR(F326="Electric",F326="Plug-in",F326="Hibrid"),1,0))</f>
        <v/>
      </c>
    </row>
    <row r="327">
      <c r="A327" s="18" t="n"/>
      <c r="B327" s="18" t="n"/>
      <c r="C327" s="19" t="n"/>
      <c r="D327" s="19" t="n"/>
      <c r="E327" s="20" t="n"/>
      <c r="F327" s="19" t="n"/>
      <c r="G327" s="21" t="n"/>
      <c r="H327" s="22" t="n"/>
      <c r="I327" s="22" t="n"/>
      <c r="J327" s="22" t="n"/>
      <c r="K327" s="19" t="n"/>
      <c r="L327" s="19" t="n"/>
      <c r="M327" s="19" t="n"/>
      <c r="N327" s="19" t="n"/>
      <c r="O327" s="23">
        <f>IF(J327="","",H327+I327)</f>
        <v/>
      </c>
      <c r="P327" s="23">
        <f>IF(J327="","",J327-O327)</f>
        <v/>
      </c>
      <c r="Q327" s="24">
        <f>IF(OR(J327="",J327=0),"",P327/J327)</f>
        <v/>
      </c>
      <c r="R327" s="25">
        <f>IF(OR(A327="",B327=""),"",B327-A327)</f>
        <v/>
      </c>
      <c r="S327" s="26">
        <f>IF(B327="","",YEAR(B327))</f>
        <v/>
      </c>
      <c r="T327" s="27">
        <f>IF(B327="","",IF(OR(F327="Electric",F327="Plug-in",F327="Hibrid"),1,0))</f>
        <v/>
      </c>
    </row>
    <row r="328">
      <c r="A328" s="18" t="n"/>
      <c r="B328" s="18" t="n"/>
      <c r="C328" s="19" t="n"/>
      <c r="D328" s="19" t="n"/>
      <c r="E328" s="20" t="n"/>
      <c r="F328" s="19" t="n"/>
      <c r="G328" s="21" t="n"/>
      <c r="H328" s="22" t="n"/>
      <c r="I328" s="22" t="n"/>
      <c r="J328" s="22" t="n"/>
      <c r="K328" s="19" t="n"/>
      <c r="L328" s="19" t="n"/>
      <c r="M328" s="19" t="n"/>
      <c r="N328" s="19" t="n"/>
      <c r="O328" s="23">
        <f>IF(J328="","",H328+I328)</f>
        <v/>
      </c>
      <c r="P328" s="23">
        <f>IF(J328="","",J328-O328)</f>
        <v/>
      </c>
      <c r="Q328" s="24">
        <f>IF(OR(J328="",J328=0),"",P328/J328)</f>
        <v/>
      </c>
      <c r="R328" s="25">
        <f>IF(OR(A328="",B328=""),"",B328-A328)</f>
        <v/>
      </c>
      <c r="S328" s="26">
        <f>IF(B328="","",YEAR(B328))</f>
        <v/>
      </c>
      <c r="T328" s="27">
        <f>IF(B328="","",IF(OR(F328="Electric",F328="Plug-in",F328="Hibrid"),1,0))</f>
        <v/>
      </c>
    </row>
    <row r="329">
      <c r="A329" s="18" t="n"/>
      <c r="B329" s="18" t="n"/>
      <c r="C329" s="19" t="n"/>
      <c r="D329" s="19" t="n"/>
      <c r="E329" s="20" t="n"/>
      <c r="F329" s="19" t="n"/>
      <c r="G329" s="21" t="n"/>
      <c r="H329" s="22" t="n"/>
      <c r="I329" s="22" t="n"/>
      <c r="J329" s="22" t="n"/>
      <c r="K329" s="19" t="n"/>
      <c r="L329" s="19" t="n"/>
      <c r="M329" s="19" t="n"/>
      <c r="N329" s="19" t="n"/>
      <c r="O329" s="23">
        <f>IF(J329="","",H329+I329)</f>
        <v/>
      </c>
      <c r="P329" s="23">
        <f>IF(J329="","",J329-O329)</f>
        <v/>
      </c>
      <c r="Q329" s="24">
        <f>IF(OR(J329="",J329=0),"",P329/J329)</f>
        <v/>
      </c>
      <c r="R329" s="25">
        <f>IF(OR(A329="",B329=""),"",B329-A329)</f>
        <v/>
      </c>
      <c r="S329" s="26">
        <f>IF(B329="","",YEAR(B329))</f>
        <v/>
      </c>
      <c r="T329" s="27">
        <f>IF(B329="","",IF(OR(F329="Electric",F329="Plug-in",F329="Hibrid"),1,0))</f>
        <v/>
      </c>
    </row>
    <row r="330">
      <c r="A330" s="18" t="n"/>
      <c r="B330" s="18" t="n"/>
      <c r="C330" s="19" t="n"/>
      <c r="D330" s="19" t="n"/>
      <c r="E330" s="20" t="n"/>
      <c r="F330" s="19" t="n"/>
      <c r="G330" s="21" t="n"/>
      <c r="H330" s="22" t="n"/>
      <c r="I330" s="22" t="n"/>
      <c r="J330" s="22" t="n"/>
      <c r="K330" s="19" t="n"/>
      <c r="L330" s="19" t="n"/>
      <c r="M330" s="19" t="n"/>
      <c r="N330" s="19" t="n"/>
      <c r="O330" s="23">
        <f>IF(J330="","",H330+I330)</f>
        <v/>
      </c>
      <c r="P330" s="23">
        <f>IF(J330="","",J330-O330)</f>
        <v/>
      </c>
      <c r="Q330" s="24">
        <f>IF(OR(J330="",J330=0),"",P330/J330)</f>
        <v/>
      </c>
      <c r="R330" s="25">
        <f>IF(OR(A330="",B330=""),"",B330-A330)</f>
        <v/>
      </c>
      <c r="S330" s="26">
        <f>IF(B330="","",YEAR(B330))</f>
        <v/>
      </c>
      <c r="T330" s="27">
        <f>IF(B330="","",IF(OR(F330="Electric",F330="Plug-in",F330="Hibrid"),1,0))</f>
        <v/>
      </c>
    </row>
    <row r="331">
      <c r="A331" s="18" t="n"/>
      <c r="B331" s="18" t="n"/>
      <c r="C331" s="19" t="n"/>
      <c r="D331" s="19" t="n"/>
      <c r="E331" s="20" t="n"/>
      <c r="F331" s="19" t="n"/>
      <c r="G331" s="21" t="n"/>
      <c r="H331" s="22" t="n"/>
      <c r="I331" s="22" t="n"/>
      <c r="J331" s="22" t="n"/>
      <c r="K331" s="19" t="n"/>
      <c r="L331" s="19" t="n"/>
      <c r="M331" s="19" t="n"/>
      <c r="N331" s="19" t="n"/>
      <c r="O331" s="23">
        <f>IF(J331="","",H331+I331)</f>
        <v/>
      </c>
      <c r="P331" s="23">
        <f>IF(J331="","",J331-O331)</f>
        <v/>
      </c>
      <c r="Q331" s="24">
        <f>IF(OR(J331="",J331=0),"",P331/J331)</f>
        <v/>
      </c>
      <c r="R331" s="25">
        <f>IF(OR(A331="",B331=""),"",B331-A331)</f>
        <v/>
      </c>
      <c r="S331" s="26">
        <f>IF(B331="","",YEAR(B331))</f>
        <v/>
      </c>
      <c r="T331" s="27">
        <f>IF(B331="","",IF(OR(F331="Electric",F331="Plug-in",F331="Hibrid"),1,0))</f>
        <v/>
      </c>
    </row>
    <row r="332">
      <c r="A332" s="18" t="n"/>
      <c r="B332" s="18" t="n"/>
      <c r="C332" s="19" t="n"/>
      <c r="D332" s="19" t="n"/>
      <c r="E332" s="20" t="n"/>
      <c r="F332" s="19" t="n"/>
      <c r="G332" s="21" t="n"/>
      <c r="H332" s="22" t="n"/>
      <c r="I332" s="22" t="n"/>
      <c r="J332" s="22" t="n"/>
      <c r="K332" s="19" t="n"/>
      <c r="L332" s="19" t="n"/>
      <c r="M332" s="19" t="n"/>
      <c r="N332" s="19" t="n"/>
      <c r="O332" s="23">
        <f>IF(J332="","",H332+I332)</f>
        <v/>
      </c>
      <c r="P332" s="23">
        <f>IF(J332="","",J332-O332)</f>
        <v/>
      </c>
      <c r="Q332" s="24">
        <f>IF(OR(J332="",J332=0),"",P332/J332)</f>
        <v/>
      </c>
      <c r="R332" s="25">
        <f>IF(OR(A332="",B332=""),"",B332-A332)</f>
        <v/>
      </c>
      <c r="S332" s="26">
        <f>IF(B332="","",YEAR(B332))</f>
        <v/>
      </c>
      <c r="T332" s="27">
        <f>IF(B332="","",IF(OR(F332="Electric",F332="Plug-in",F332="Hibrid"),1,0))</f>
        <v/>
      </c>
    </row>
    <row r="333">
      <c r="A333" s="18" t="n"/>
      <c r="B333" s="18" t="n"/>
      <c r="C333" s="19" t="n"/>
      <c r="D333" s="19" t="n"/>
      <c r="E333" s="20" t="n"/>
      <c r="F333" s="19" t="n"/>
      <c r="G333" s="21" t="n"/>
      <c r="H333" s="22" t="n"/>
      <c r="I333" s="22" t="n"/>
      <c r="J333" s="22" t="n"/>
      <c r="K333" s="19" t="n"/>
      <c r="L333" s="19" t="n"/>
      <c r="M333" s="19" t="n"/>
      <c r="N333" s="19" t="n"/>
      <c r="O333" s="23">
        <f>IF(J333="","",H333+I333)</f>
        <v/>
      </c>
      <c r="P333" s="23">
        <f>IF(J333="","",J333-O333)</f>
        <v/>
      </c>
      <c r="Q333" s="24">
        <f>IF(OR(J333="",J333=0),"",P333/J333)</f>
        <v/>
      </c>
      <c r="R333" s="25">
        <f>IF(OR(A333="",B333=""),"",B333-A333)</f>
        <v/>
      </c>
      <c r="S333" s="26">
        <f>IF(B333="","",YEAR(B333))</f>
        <v/>
      </c>
      <c r="T333" s="27">
        <f>IF(B333="","",IF(OR(F333="Electric",F333="Plug-in",F333="Hibrid"),1,0))</f>
        <v/>
      </c>
    </row>
    <row r="334">
      <c r="A334" s="18" t="n"/>
      <c r="B334" s="18" t="n"/>
      <c r="C334" s="19" t="n"/>
      <c r="D334" s="19" t="n"/>
      <c r="E334" s="20" t="n"/>
      <c r="F334" s="19" t="n"/>
      <c r="G334" s="21" t="n"/>
      <c r="H334" s="22" t="n"/>
      <c r="I334" s="22" t="n"/>
      <c r="J334" s="22" t="n"/>
      <c r="K334" s="19" t="n"/>
      <c r="L334" s="19" t="n"/>
      <c r="M334" s="19" t="n"/>
      <c r="N334" s="19" t="n"/>
      <c r="O334" s="23">
        <f>IF(J334="","",H334+I334)</f>
        <v/>
      </c>
      <c r="P334" s="23">
        <f>IF(J334="","",J334-O334)</f>
        <v/>
      </c>
      <c r="Q334" s="24">
        <f>IF(OR(J334="",J334=0),"",P334/J334)</f>
        <v/>
      </c>
      <c r="R334" s="25">
        <f>IF(OR(A334="",B334=""),"",B334-A334)</f>
        <v/>
      </c>
      <c r="S334" s="26">
        <f>IF(B334="","",YEAR(B334))</f>
        <v/>
      </c>
      <c r="T334" s="27">
        <f>IF(B334="","",IF(OR(F334="Electric",F334="Plug-in",F334="Hibrid"),1,0))</f>
        <v/>
      </c>
    </row>
    <row r="335">
      <c r="A335" s="18" t="n"/>
      <c r="B335" s="18" t="n"/>
      <c r="C335" s="19" t="n"/>
      <c r="D335" s="19" t="n"/>
      <c r="E335" s="20" t="n"/>
      <c r="F335" s="19" t="n"/>
      <c r="G335" s="21" t="n"/>
      <c r="H335" s="22" t="n"/>
      <c r="I335" s="22" t="n"/>
      <c r="J335" s="22" t="n"/>
      <c r="K335" s="19" t="n"/>
      <c r="L335" s="19" t="n"/>
      <c r="M335" s="19" t="n"/>
      <c r="N335" s="19" t="n"/>
      <c r="O335" s="23">
        <f>IF(J335="","",H335+I335)</f>
        <v/>
      </c>
      <c r="P335" s="23">
        <f>IF(J335="","",J335-O335)</f>
        <v/>
      </c>
      <c r="Q335" s="24">
        <f>IF(OR(J335="",J335=0),"",P335/J335)</f>
        <v/>
      </c>
      <c r="R335" s="25">
        <f>IF(OR(A335="",B335=""),"",B335-A335)</f>
        <v/>
      </c>
      <c r="S335" s="26">
        <f>IF(B335="","",YEAR(B335))</f>
        <v/>
      </c>
      <c r="T335" s="27">
        <f>IF(B335="","",IF(OR(F335="Electric",F335="Plug-in",F335="Hibrid"),1,0))</f>
        <v/>
      </c>
    </row>
    <row r="336">
      <c r="A336" s="18" t="n"/>
      <c r="B336" s="18" t="n"/>
      <c r="C336" s="19" t="n"/>
      <c r="D336" s="19" t="n"/>
      <c r="E336" s="20" t="n"/>
      <c r="F336" s="19" t="n"/>
      <c r="G336" s="21" t="n"/>
      <c r="H336" s="22" t="n"/>
      <c r="I336" s="22" t="n"/>
      <c r="J336" s="22" t="n"/>
      <c r="K336" s="19" t="n"/>
      <c r="L336" s="19" t="n"/>
      <c r="M336" s="19" t="n"/>
      <c r="N336" s="19" t="n"/>
      <c r="O336" s="23">
        <f>IF(J336="","",H336+I336)</f>
        <v/>
      </c>
      <c r="P336" s="23">
        <f>IF(J336="","",J336-O336)</f>
        <v/>
      </c>
      <c r="Q336" s="24">
        <f>IF(OR(J336="",J336=0),"",P336/J336)</f>
        <v/>
      </c>
      <c r="R336" s="25">
        <f>IF(OR(A336="",B336=""),"",B336-A336)</f>
        <v/>
      </c>
      <c r="S336" s="26">
        <f>IF(B336="","",YEAR(B336))</f>
        <v/>
      </c>
      <c r="T336" s="27">
        <f>IF(B336="","",IF(OR(F336="Electric",F336="Plug-in",F336="Hibrid"),1,0))</f>
        <v/>
      </c>
    </row>
    <row r="337">
      <c r="A337" s="18" t="n"/>
      <c r="B337" s="18" t="n"/>
      <c r="C337" s="19" t="n"/>
      <c r="D337" s="19" t="n"/>
      <c r="E337" s="20" t="n"/>
      <c r="F337" s="19" t="n"/>
      <c r="G337" s="21" t="n"/>
      <c r="H337" s="22" t="n"/>
      <c r="I337" s="22" t="n"/>
      <c r="J337" s="22" t="n"/>
      <c r="K337" s="19" t="n"/>
      <c r="L337" s="19" t="n"/>
      <c r="M337" s="19" t="n"/>
      <c r="N337" s="19" t="n"/>
      <c r="O337" s="23">
        <f>IF(J337="","",H337+I337)</f>
        <v/>
      </c>
      <c r="P337" s="23">
        <f>IF(J337="","",J337-O337)</f>
        <v/>
      </c>
      <c r="Q337" s="24">
        <f>IF(OR(J337="",J337=0),"",P337/J337)</f>
        <v/>
      </c>
      <c r="R337" s="25">
        <f>IF(OR(A337="",B337=""),"",B337-A337)</f>
        <v/>
      </c>
      <c r="S337" s="26">
        <f>IF(B337="","",YEAR(B337))</f>
        <v/>
      </c>
      <c r="T337" s="27">
        <f>IF(B337="","",IF(OR(F337="Electric",F337="Plug-in",F337="Hibrid"),1,0))</f>
        <v/>
      </c>
    </row>
    <row r="338">
      <c r="A338" s="18" t="n"/>
      <c r="B338" s="18" t="n"/>
      <c r="C338" s="19" t="n"/>
      <c r="D338" s="19" t="n"/>
      <c r="E338" s="20" t="n"/>
      <c r="F338" s="19" t="n"/>
      <c r="G338" s="21" t="n"/>
      <c r="H338" s="22" t="n"/>
      <c r="I338" s="22" t="n"/>
      <c r="J338" s="22" t="n"/>
      <c r="K338" s="19" t="n"/>
      <c r="L338" s="19" t="n"/>
      <c r="M338" s="19" t="n"/>
      <c r="N338" s="19" t="n"/>
      <c r="O338" s="23">
        <f>IF(J338="","",H338+I338)</f>
        <v/>
      </c>
      <c r="P338" s="23">
        <f>IF(J338="","",J338-O338)</f>
        <v/>
      </c>
      <c r="Q338" s="24">
        <f>IF(OR(J338="",J338=0),"",P338/J338)</f>
        <v/>
      </c>
      <c r="R338" s="25">
        <f>IF(OR(A338="",B338=""),"",B338-A338)</f>
        <v/>
      </c>
      <c r="S338" s="26">
        <f>IF(B338="","",YEAR(B338))</f>
        <v/>
      </c>
      <c r="T338" s="27">
        <f>IF(B338="","",IF(OR(F338="Electric",F338="Plug-in",F338="Hibrid"),1,0))</f>
        <v/>
      </c>
    </row>
    <row r="339">
      <c r="A339" s="18" t="n"/>
      <c r="B339" s="18" t="n"/>
      <c r="C339" s="19" t="n"/>
      <c r="D339" s="19" t="n"/>
      <c r="E339" s="20" t="n"/>
      <c r="F339" s="19" t="n"/>
      <c r="G339" s="21" t="n"/>
      <c r="H339" s="22" t="n"/>
      <c r="I339" s="22" t="n"/>
      <c r="J339" s="22" t="n"/>
      <c r="K339" s="19" t="n"/>
      <c r="L339" s="19" t="n"/>
      <c r="M339" s="19" t="n"/>
      <c r="N339" s="19" t="n"/>
      <c r="O339" s="23">
        <f>IF(J339="","",H339+I339)</f>
        <v/>
      </c>
      <c r="P339" s="23">
        <f>IF(J339="","",J339-O339)</f>
        <v/>
      </c>
      <c r="Q339" s="24">
        <f>IF(OR(J339="",J339=0),"",P339/J339)</f>
        <v/>
      </c>
      <c r="R339" s="25">
        <f>IF(OR(A339="",B339=""),"",B339-A339)</f>
        <v/>
      </c>
      <c r="S339" s="26">
        <f>IF(B339="","",YEAR(B339))</f>
        <v/>
      </c>
      <c r="T339" s="27">
        <f>IF(B339="","",IF(OR(F339="Electric",F339="Plug-in",F339="Hibrid"),1,0))</f>
        <v/>
      </c>
    </row>
    <row r="340">
      <c r="A340" s="18" t="n"/>
      <c r="B340" s="18" t="n"/>
      <c r="C340" s="19" t="n"/>
      <c r="D340" s="19" t="n"/>
      <c r="E340" s="20" t="n"/>
      <c r="F340" s="19" t="n"/>
      <c r="G340" s="21" t="n"/>
      <c r="H340" s="22" t="n"/>
      <c r="I340" s="22" t="n"/>
      <c r="J340" s="22" t="n"/>
      <c r="K340" s="19" t="n"/>
      <c r="L340" s="19" t="n"/>
      <c r="M340" s="19" t="n"/>
      <c r="N340" s="19" t="n"/>
      <c r="O340" s="23">
        <f>IF(J340="","",H340+I340)</f>
        <v/>
      </c>
      <c r="P340" s="23">
        <f>IF(J340="","",J340-O340)</f>
        <v/>
      </c>
      <c r="Q340" s="24">
        <f>IF(OR(J340="",J340=0),"",P340/J340)</f>
        <v/>
      </c>
      <c r="R340" s="25">
        <f>IF(OR(A340="",B340=""),"",B340-A340)</f>
        <v/>
      </c>
      <c r="S340" s="26">
        <f>IF(B340="","",YEAR(B340))</f>
        <v/>
      </c>
      <c r="T340" s="27">
        <f>IF(B340="","",IF(OR(F340="Electric",F340="Plug-in",F340="Hibrid"),1,0))</f>
        <v/>
      </c>
    </row>
    <row r="341">
      <c r="A341" s="18" t="n"/>
      <c r="B341" s="18" t="n"/>
      <c r="C341" s="19" t="n"/>
      <c r="D341" s="19" t="n"/>
      <c r="E341" s="20" t="n"/>
      <c r="F341" s="19" t="n"/>
      <c r="G341" s="21" t="n"/>
      <c r="H341" s="22" t="n"/>
      <c r="I341" s="22" t="n"/>
      <c r="J341" s="22" t="n"/>
      <c r="K341" s="19" t="n"/>
      <c r="L341" s="19" t="n"/>
      <c r="M341" s="19" t="n"/>
      <c r="N341" s="19" t="n"/>
      <c r="O341" s="23">
        <f>IF(J341="","",H341+I341)</f>
        <v/>
      </c>
      <c r="P341" s="23">
        <f>IF(J341="","",J341-O341)</f>
        <v/>
      </c>
      <c r="Q341" s="24">
        <f>IF(OR(J341="",J341=0),"",P341/J341)</f>
        <v/>
      </c>
      <c r="R341" s="25">
        <f>IF(OR(A341="",B341=""),"",B341-A341)</f>
        <v/>
      </c>
      <c r="S341" s="26">
        <f>IF(B341="","",YEAR(B341))</f>
        <v/>
      </c>
      <c r="T341" s="27">
        <f>IF(B341="","",IF(OR(F341="Electric",F341="Plug-in",F341="Hibrid"),1,0))</f>
        <v/>
      </c>
    </row>
    <row r="342">
      <c r="A342" s="18" t="n"/>
      <c r="B342" s="18" t="n"/>
      <c r="C342" s="19" t="n"/>
      <c r="D342" s="19" t="n"/>
      <c r="E342" s="20" t="n"/>
      <c r="F342" s="19" t="n"/>
      <c r="G342" s="21" t="n"/>
      <c r="H342" s="22" t="n"/>
      <c r="I342" s="22" t="n"/>
      <c r="J342" s="22" t="n"/>
      <c r="K342" s="19" t="n"/>
      <c r="L342" s="19" t="n"/>
      <c r="M342" s="19" t="n"/>
      <c r="N342" s="19" t="n"/>
      <c r="O342" s="23">
        <f>IF(J342="","",H342+I342)</f>
        <v/>
      </c>
      <c r="P342" s="23">
        <f>IF(J342="","",J342-O342)</f>
        <v/>
      </c>
      <c r="Q342" s="24">
        <f>IF(OR(J342="",J342=0),"",P342/J342)</f>
        <v/>
      </c>
      <c r="R342" s="25">
        <f>IF(OR(A342="",B342=""),"",B342-A342)</f>
        <v/>
      </c>
      <c r="S342" s="26">
        <f>IF(B342="","",YEAR(B342))</f>
        <v/>
      </c>
      <c r="T342" s="27">
        <f>IF(B342="","",IF(OR(F342="Electric",F342="Plug-in",F342="Hibrid"),1,0))</f>
        <v/>
      </c>
    </row>
    <row r="343">
      <c r="A343" s="18" t="n"/>
      <c r="B343" s="18" t="n"/>
      <c r="C343" s="19" t="n"/>
      <c r="D343" s="19" t="n"/>
      <c r="E343" s="20" t="n"/>
      <c r="F343" s="19" t="n"/>
      <c r="G343" s="21" t="n"/>
      <c r="H343" s="22" t="n"/>
      <c r="I343" s="22" t="n"/>
      <c r="J343" s="22" t="n"/>
      <c r="K343" s="19" t="n"/>
      <c r="L343" s="19" t="n"/>
      <c r="M343" s="19" t="n"/>
      <c r="N343" s="19" t="n"/>
      <c r="O343" s="23">
        <f>IF(J343="","",H343+I343)</f>
        <v/>
      </c>
      <c r="P343" s="23">
        <f>IF(J343="","",J343-O343)</f>
        <v/>
      </c>
      <c r="Q343" s="24">
        <f>IF(OR(J343="",J343=0),"",P343/J343)</f>
        <v/>
      </c>
      <c r="R343" s="25">
        <f>IF(OR(A343="",B343=""),"",B343-A343)</f>
        <v/>
      </c>
      <c r="S343" s="26">
        <f>IF(B343="","",YEAR(B343))</f>
        <v/>
      </c>
      <c r="T343" s="27">
        <f>IF(B343="","",IF(OR(F343="Electric",F343="Plug-in",F343="Hibrid"),1,0))</f>
        <v/>
      </c>
    </row>
    <row r="344">
      <c r="A344" s="18" t="n"/>
      <c r="B344" s="18" t="n"/>
      <c r="C344" s="19" t="n"/>
      <c r="D344" s="19" t="n"/>
      <c r="E344" s="20" t="n"/>
      <c r="F344" s="19" t="n"/>
      <c r="G344" s="21" t="n"/>
      <c r="H344" s="22" t="n"/>
      <c r="I344" s="22" t="n"/>
      <c r="J344" s="22" t="n"/>
      <c r="K344" s="19" t="n"/>
      <c r="L344" s="19" t="n"/>
      <c r="M344" s="19" t="n"/>
      <c r="N344" s="19" t="n"/>
      <c r="O344" s="23">
        <f>IF(J344="","",H344+I344)</f>
        <v/>
      </c>
      <c r="P344" s="23">
        <f>IF(J344="","",J344-O344)</f>
        <v/>
      </c>
      <c r="Q344" s="24">
        <f>IF(OR(J344="",J344=0),"",P344/J344)</f>
        <v/>
      </c>
      <c r="R344" s="25">
        <f>IF(OR(A344="",B344=""),"",B344-A344)</f>
        <v/>
      </c>
      <c r="S344" s="26">
        <f>IF(B344="","",YEAR(B344))</f>
        <v/>
      </c>
      <c r="T344" s="27">
        <f>IF(B344="","",IF(OR(F344="Electric",F344="Plug-in",F344="Hibrid"),1,0))</f>
        <v/>
      </c>
    </row>
    <row r="345">
      <c r="A345" s="18" t="n"/>
      <c r="B345" s="18" t="n"/>
      <c r="C345" s="19" t="n"/>
      <c r="D345" s="19" t="n"/>
      <c r="E345" s="20" t="n"/>
      <c r="F345" s="19" t="n"/>
      <c r="G345" s="21" t="n"/>
      <c r="H345" s="22" t="n"/>
      <c r="I345" s="22" t="n"/>
      <c r="J345" s="22" t="n"/>
      <c r="K345" s="19" t="n"/>
      <c r="L345" s="19" t="n"/>
      <c r="M345" s="19" t="n"/>
      <c r="N345" s="19" t="n"/>
      <c r="O345" s="23">
        <f>IF(J345="","",H345+I345)</f>
        <v/>
      </c>
      <c r="P345" s="23">
        <f>IF(J345="","",J345-O345)</f>
        <v/>
      </c>
      <c r="Q345" s="24">
        <f>IF(OR(J345="",J345=0),"",P345/J345)</f>
        <v/>
      </c>
      <c r="R345" s="25">
        <f>IF(OR(A345="",B345=""),"",B345-A345)</f>
        <v/>
      </c>
      <c r="S345" s="26">
        <f>IF(B345="","",YEAR(B345))</f>
        <v/>
      </c>
      <c r="T345" s="27">
        <f>IF(B345="","",IF(OR(F345="Electric",F345="Plug-in",F345="Hibrid"),1,0))</f>
        <v/>
      </c>
    </row>
    <row r="346">
      <c r="A346" s="18" t="n"/>
      <c r="B346" s="18" t="n"/>
      <c r="C346" s="19" t="n"/>
      <c r="D346" s="19" t="n"/>
      <c r="E346" s="20" t="n"/>
      <c r="F346" s="19" t="n"/>
      <c r="G346" s="21" t="n"/>
      <c r="H346" s="22" t="n"/>
      <c r="I346" s="22" t="n"/>
      <c r="J346" s="22" t="n"/>
      <c r="K346" s="19" t="n"/>
      <c r="L346" s="19" t="n"/>
      <c r="M346" s="19" t="n"/>
      <c r="N346" s="19" t="n"/>
      <c r="O346" s="23">
        <f>IF(J346="","",H346+I346)</f>
        <v/>
      </c>
      <c r="P346" s="23">
        <f>IF(J346="","",J346-O346)</f>
        <v/>
      </c>
      <c r="Q346" s="24">
        <f>IF(OR(J346="",J346=0),"",P346/J346)</f>
        <v/>
      </c>
      <c r="R346" s="25">
        <f>IF(OR(A346="",B346=""),"",B346-A346)</f>
        <v/>
      </c>
      <c r="S346" s="26">
        <f>IF(B346="","",YEAR(B346))</f>
        <v/>
      </c>
      <c r="T346" s="27">
        <f>IF(B346="","",IF(OR(F346="Electric",F346="Plug-in",F346="Hibrid"),1,0))</f>
        <v/>
      </c>
    </row>
    <row r="347">
      <c r="A347" s="18" t="n"/>
      <c r="B347" s="18" t="n"/>
      <c r="C347" s="19" t="n"/>
      <c r="D347" s="19" t="n"/>
      <c r="E347" s="20" t="n"/>
      <c r="F347" s="19" t="n"/>
      <c r="G347" s="21" t="n"/>
      <c r="H347" s="22" t="n"/>
      <c r="I347" s="22" t="n"/>
      <c r="J347" s="22" t="n"/>
      <c r="K347" s="19" t="n"/>
      <c r="L347" s="19" t="n"/>
      <c r="M347" s="19" t="n"/>
      <c r="N347" s="19" t="n"/>
      <c r="O347" s="23">
        <f>IF(J347="","",H347+I347)</f>
        <v/>
      </c>
      <c r="P347" s="23">
        <f>IF(J347="","",J347-O347)</f>
        <v/>
      </c>
      <c r="Q347" s="24">
        <f>IF(OR(J347="",J347=0),"",P347/J347)</f>
        <v/>
      </c>
      <c r="R347" s="25">
        <f>IF(OR(A347="",B347=""),"",B347-A347)</f>
        <v/>
      </c>
      <c r="S347" s="26">
        <f>IF(B347="","",YEAR(B347))</f>
        <v/>
      </c>
      <c r="T347" s="27">
        <f>IF(B347="","",IF(OR(F347="Electric",F347="Plug-in",F347="Hibrid"),1,0))</f>
        <v/>
      </c>
    </row>
    <row r="348">
      <c r="A348" s="18" t="n"/>
      <c r="B348" s="18" t="n"/>
      <c r="C348" s="19" t="n"/>
      <c r="D348" s="19" t="n"/>
      <c r="E348" s="20" t="n"/>
      <c r="F348" s="19" t="n"/>
      <c r="G348" s="21" t="n"/>
      <c r="H348" s="22" t="n"/>
      <c r="I348" s="22" t="n"/>
      <c r="J348" s="22" t="n"/>
      <c r="K348" s="19" t="n"/>
      <c r="L348" s="19" t="n"/>
      <c r="M348" s="19" t="n"/>
      <c r="N348" s="19" t="n"/>
      <c r="O348" s="23">
        <f>IF(J348="","",H348+I348)</f>
        <v/>
      </c>
      <c r="P348" s="23">
        <f>IF(J348="","",J348-O348)</f>
        <v/>
      </c>
      <c r="Q348" s="24">
        <f>IF(OR(J348="",J348=0),"",P348/J348)</f>
        <v/>
      </c>
      <c r="R348" s="25">
        <f>IF(OR(A348="",B348=""),"",B348-A348)</f>
        <v/>
      </c>
      <c r="S348" s="26">
        <f>IF(B348="","",YEAR(B348))</f>
        <v/>
      </c>
      <c r="T348" s="27">
        <f>IF(B348="","",IF(OR(F348="Electric",F348="Plug-in",F348="Hibrid"),1,0))</f>
        <v/>
      </c>
    </row>
    <row r="349">
      <c r="A349" s="18" t="n"/>
      <c r="B349" s="18" t="n"/>
      <c r="C349" s="19" t="n"/>
      <c r="D349" s="19" t="n"/>
      <c r="E349" s="20" t="n"/>
      <c r="F349" s="19" t="n"/>
      <c r="G349" s="21" t="n"/>
      <c r="H349" s="22" t="n"/>
      <c r="I349" s="22" t="n"/>
      <c r="J349" s="22" t="n"/>
      <c r="K349" s="19" t="n"/>
      <c r="L349" s="19" t="n"/>
      <c r="M349" s="19" t="n"/>
      <c r="N349" s="19" t="n"/>
      <c r="O349" s="23">
        <f>IF(J349="","",H349+I349)</f>
        <v/>
      </c>
      <c r="P349" s="23">
        <f>IF(J349="","",J349-O349)</f>
        <v/>
      </c>
      <c r="Q349" s="24">
        <f>IF(OR(J349="",J349=0),"",P349/J349)</f>
        <v/>
      </c>
      <c r="R349" s="25">
        <f>IF(OR(A349="",B349=""),"",B349-A349)</f>
        <v/>
      </c>
      <c r="S349" s="26">
        <f>IF(B349="","",YEAR(B349))</f>
        <v/>
      </c>
      <c r="T349" s="27">
        <f>IF(B349="","",IF(OR(F349="Electric",F349="Plug-in",F349="Hibrid"),1,0))</f>
        <v/>
      </c>
    </row>
    <row r="350">
      <c r="A350" s="18" t="n"/>
      <c r="B350" s="18" t="n"/>
      <c r="C350" s="19" t="n"/>
      <c r="D350" s="19" t="n"/>
      <c r="E350" s="20" t="n"/>
      <c r="F350" s="19" t="n"/>
      <c r="G350" s="21" t="n"/>
      <c r="H350" s="22" t="n"/>
      <c r="I350" s="22" t="n"/>
      <c r="J350" s="22" t="n"/>
      <c r="K350" s="19" t="n"/>
      <c r="L350" s="19" t="n"/>
      <c r="M350" s="19" t="n"/>
      <c r="N350" s="19" t="n"/>
      <c r="O350" s="23">
        <f>IF(J350="","",H350+I350)</f>
        <v/>
      </c>
      <c r="P350" s="23">
        <f>IF(J350="","",J350-O350)</f>
        <v/>
      </c>
      <c r="Q350" s="24">
        <f>IF(OR(J350="",J350=0),"",P350/J350)</f>
        <v/>
      </c>
      <c r="R350" s="25">
        <f>IF(OR(A350="",B350=""),"",B350-A350)</f>
        <v/>
      </c>
      <c r="S350" s="26">
        <f>IF(B350="","",YEAR(B350))</f>
        <v/>
      </c>
      <c r="T350" s="27">
        <f>IF(B350="","",IF(OR(F350="Electric",F350="Plug-in",F350="Hibrid"),1,0))</f>
        <v/>
      </c>
    </row>
    <row r="351">
      <c r="A351" s="18" t="n"/>
      <c r="B351" s="18" t="n"/>
      <c r="C351" s="19" t="n"/>
      <c r="D351" s="19" t="n"/>
      <c r="E351" s="20" t="n"/>
      <c r="F351" s="19" t="n"/>
      <c r="G351" s="21" t="n"/>
      <c r="H351" s="22" t="n"/>
      <c r="I351" s="22" t="n"/>
      <c r="J351" s="22" t="n"/>
      <c r="K351" s="19" t="n"/>
      <c r="L351" s="19" t="n"/>
      <c r="M351" s="19" t="n"/>
      <c r="N351" s="19" t="n"/>
      <c r="O351" s="23">
        <f>IF(J351="","",H351+I351)</f>
        <v/>
      </c>
      <c r="P351" s="23">
        <f>IF(J351="","",J351-O351)</f>
        <v/>
      </c>
      <c r="Q351" s="24">
        <f>IF(OR(J351="",J351=0),"",P351/J351)</f>
        <v/>
      </c>
      <c r="R351" s="25">
        <f>IF(OR(A351="",B351=""),"",B351-A351)</f>
        <v/>
      </c>
      <c r="S351" s="26">
        <f>IF(B351="","",YEAR(B351))</f>
        <v/>
      </c>
      <c r="T351" s="27">
        <f>IF(B351="","",IF(OR(F351="Electric",F351="Plug-in",F351="Hibrid"),1,0))</f>
        <v/>
      </c>
    </row>
    <row r="352">
      <c r="A352" s="18" t="n"/>
      <c r="B352" s="18" t="n"/>
      <c r="C352" s="19" t="n"/>
      <c r="D352" s="19" t="n"/>
      <c r="E352" s="20" t="n"/>
      <c r="F352" s="19" t="n"/>
      <c r="G352" s="21" t="n"/>
      <c r="H352" s="22" t="n"/>
      <c r="I352" s="22" t="n"/>
      <c r="J352" s="22" t="n"/>
      <c r="K352" s="19" t="n"/>
      <c r="L352" s="19" t="n"/>
      <c r="M352" s="19" t="n"/>
      <c r="N352" s="19" t="n"/>
      <c r="O352" s="23">
        <f>IF(J352="","",H352+I352)</f>
        <v/>
      </c>
      <c r="P352" s="23">
        <f>IF(J352="","",J352-O352)</f>
        <v/>
      </c>
      <c r="Q352" s="24">
        <f>IF(OR(J352="",J352=0),"",P352/J352)</f>
        <v/>
      </c>
      <c r="R352" s="25">
        <f>IF(OR(A352="",B352=""),"",B352-A352)</f>
        <v/>
      </c>
      <c r="S352" s="26">
        <f>IF(B352="","",YEAR(B352))</f>
        <v/>
      </c>
      <c r="T352" s="27">
        <f>IF(B352="","",IF(OR(F352="Electric",F352="Plug-in",F352="Hibrid"),1,0))</f>
        <v/>
      </c>
    </row>
    <row r="353">
      <c r="A353" s="18" t="n"/>
      <c r="B353" s="18" t="n"/>
      <c r="C353" s="19" t="n"/>
      <c r="D353" s="19" t="n"/>
      <c r="E353" s="20" t="n"/>
      <c r="F353" s="19" t="n"/>
      <c r="G353" s="21" t="n"/>
      <c r="H353" s="22" t="n"/>
      <c r="I353" s="22" t="n"/>
      <c r="J353" s="22" t="n"/>
      <c r="K353" s="19" t="n"/>
      <c r="L353" s="19" t="n"/>
      <c r="M353" s="19" t="n"/>
      <c r="N353" s="19" t="n"/>
      <c r="O353" s="23">
        <f>IF(J353="","",H353+I353)</f>
        <v/>
      </c>
      <c r="P353" s="23">
        <f>IF(J353="","",J353-O353)</f>
        <v/>
      </c>
      <c r="Q353" s="24">
        <f>IF(OR(J353="",J353=0),"",P353/J353)</f>
        <v/>
      </c>
      <c r="R353" s="25">
        <f>IF(OR(A353="",B353=""),"",B353-A353)</f>
        <v/>
      </c>
      <c r="S353" s="26">
        <f>IF(B353="","",YEAR(B353))</f>
        <v/>
      </c>
      <c r="T353" s="27">
        <f>IF(B353="","",IF(OR(F353="Electric",F353="Plug-in",F353="Hibrid"),1,0))</f>
        <v/>
      </c>
    </row>
    <row r="354">
      <c r="A354" s="18" t="n"/>
      <c r="B354" s="18" t="n"/>
      <c r="C354" s="19" t="n"/>
      <c r="D354" s="19" t="n"/>
      <c r="E354" s="20" t="n"/>
      <c r="F354" s="19" t="n"/>
      <c r="G354" s="21" t="n"/>
      <c r="H354" s="22" t="n"/>
      <c r="I354" s="22" t="n"/>
      <c r="J354" s="22" t="n"/>
      <c r="K354" s="19" t="n"/>
      <c r="L354" s="19" t="n"/>
      <c r="M354" s="19" t="n"/>
      <c r="N354" s="19" t="n"/>
      <c r="O354" s="23">
        <f>IF(J354="","",H354+I354)</f>
        <v/>
      </c>
      <c r="P354" s="23">
        <f>IF(J354="","",J354-O354)</f>
        <v/>
      </c>
      <c r="Q354" s="24">
        <f>IF(OR(J354="",J354=0),"",P354/J354)</f>
        <v/>
      </c>
      <c r="R354" s="25">
        <f>IF(OR(A354="",B354=""),"",B354-A354)</f>
        <v/>
      </c>
      <c r="S354" s="26">
        <f>IF(B354="","",YEAR(B354))</f>
        <v/>
      </c>
      <c r="T354" s="27">
        <f>IF(B354="","",IF(OR(F354="Electric",F354="Plug-in",F354="Hibrid"),1,0))</f>
        <v/>
      </c>
    </row>
    <row r="355">
      <c r="A355" s="18" t="n"/>
      <c r="B355" s="18" t="n"/>
      <c r="C355" s="19" t="n"/>
      <c r="D355" s="19" t="n"/>
      <c r="E355" s="20" t="n"/>
      <c r="F355" s="19" t="n"/>
      <c r="G355" s="21" t="n"/>
      <c r="H355" s="22" t="n"/>
      <c r="I355" s="22" t="n"/>
      <c r="J355" s="22" t="n"/>
      <c r="K355" s="19" t="n"/>
      <c r="L355" s="19" t="n"/>
      <c r="M355" s="19" t="n"/>
      <c r="N355" s="19" t="n"/>
      <c r="O355" s="23">
        <f>IF(J355="","",H355+I355)</f>
        <v/>
      </c>
      <c r="P355" s="23">
        <f>IF(J355="","",J355-O355)</f>
        <v/>
      </c>
      <c r="Q355" s="24">
        <f>IF(OR(J355="",J355=0),"",P355/J355)</f>
        <v/>
      </c>
      <c r="R355" s="25">
        <f>IF(OR(A355="",B355=""),"",B355-A355)</f>
        <v/>
      </c>
      <c r="S355" s="26">
        <f>IF(B355="","",YEAR(B355))</f>
        <v/>
      </c>
      <c r="T355" s="27">
        <f>IF(B355="","",IF(OR(F355="Electric",F355="Plug-in",F355="Hibrid"),1,0))</f>
        <v/>
      </c>
    </row>
    <row r="356">
      <c r="A356" s="18" t="n"/>
      <c r="B356" s="18" t="n"/>
      <c r="C356" s="19" t="n"/>
      <c r="D356" s="19" t="n"/>
      <c r="E356" s="20" t="n"/>
      <c r="F356" s="19" t="n"/>
      <c r="G356" s="21" t="n"/>
      <c r="H356" s="22" t="n"/>
      <c r="I356" s="22" t="n"/>
      <c r="J356" s="22" t="n"/>
      <c r="K356" s="19" t="n"/>
      <c r="L356" s="19" t="n"/>
      <c r="M356" s="19" t="n"/>
      <c r="N356" s="19" t="n"/>
      <c r="O356" s="23">
        <f>IF(J356="","",H356+I356)</f>
        <v/>
      </c>
      <c r="P356" s="23">
        <f>IF(J356="","",J356-O356)</f>
        <v/>
      </c>
      <c r="Q356" s="24">
        <f>IF(OR(J356="",J356=0),"",P356/J356)</f>
        <v/>
      </c>
      <c r="R356" s="25">
        <f>IF(OR(A356="",B356=""),"",B356-A356)</f>
        <v/>
      </c>
      <c r="S356" s="26">
        <f>IF(B356="","",YEAR(B356))</f>
        <v/>
      </c>
      <c r="T356" s="27">
        <f>IF(B356="","",IF(OR(F356="Electric",F356="Plug-in",F356="Hibrid"),1,0))</f>
        <v/>
      </c>
    </row>
    <row r="357">
      <c r="A357" s="18" t="n"/>
      <c r="B357" s="18" t="n"/>
      <c r="C357" s="19" t="n"/>
      <c r="D357" s="19" t="n"/>
      <c r="E357" s="20" t="n"/>
      <c r="F357" s="19" t="n"/>
      <c r="G357" s="21" t="n"/>
      <c r="H357" s="22" t="n"/>
      <c r="I357" s="22" t="n"/>
      <c r="J357" s="22" t="n"/>
      <c r="K357" s="19" t="n"/>
      <c r="L357" s="19" t="n"/>
      <c r="M357" s="19" t="n"/>
      <c r="N357" s="19" t="n"/>
      <c r="O357" s="23">
        <f>IF(J357="","",H357+I357)</f>
        <v/>
      </c>
      <c r="P357" s="23">
        <f>IF(J357="","",J357-O357)</f>
        <v/>
      </c>
      <c r="Q357" s="24">
        <f>IF(OR(J357="",J357=0),"",P357/J357)</f>
        <v/>
      </c>
      <c r="R357" s="25">
        <f>IF(OR(A357="",B357=""),"",B357-A357)</f>
        <v/>
      </c>
      <c r="S357" s="26">
        <f>IF(B357="","",YEAR(B357))</f>
        <v/>
      </c>
      <c r="T357" s="27">
        <f>IF(B357="","",IF(OR(F357="Electric",F357="Plug-in",F357="Hibrid"),1,0))</f>
        <v/>
      </c>
    </row>
    <row r="358">
      <c r="A358" s="18" t="n"/>
      <c r="B358" s="18" t="n"/>
      <c r="C358" s="19" t="n"/>
      <c r="D358" s="19" t="n"/>
      <c r="E358" s="20" t="n"/>
      <c r="F358" s="19" t="n"/>
      <c r="G358" s="21" t="n"/>
      <c r="H358" s="22" t="n"/>
      <c r="I358" s="22" t="n"/>
      <c r="J358" s="22" t="n"/>
      <c r="K358" s="19" t="n"/>
      <c r="L358" s="19" t="n"/>
      <c r="M358" s="19" t="n"/>
      <c r="N358" s="19" t="n"/>
      <c r="O358" s="23">
        <f>IF(J358="","",H358+I358)</f>
        <v/>
      </c>
      <c r="P358" s="23">
        <f>IF(J358="","",J358-O358)</f>
        <v/>
      </c>
      <c r="Q358" s="24">
        <f>IF(OR(J358="",J358=0),"",P358/J358)</f>
        <v/>
      </c>
      <c r="R358" s="25">
        <f>IF(OR(A358="",B358=""),"",B358-A358)</f>
        <v/>
      </c>
      <c r="S358" s="26">
        <f>IF(B358="","",YEAR(B358))</f>
        <v/>
      </c>
      <c r="T358" s="27">
        <f>IF(B358="","",IF(OR(F358="Electric",F358="Plug-in",F358="Hibrid"),1,0))</f>
        <v/>
      </c>
    </row>
    <row r="359">
      <c r="A359" s="18" t="n"/>
      <c r="B359" s="18" t="n"/>
      <c r="C359" s="19" t="n"/>
      <c r="D359" s="19" t="n"/>
      <c r="E359" s="20" t="n"/>
      <c r="F359" s="19" t="n"/>
      <c r="G359" s="21" t="n"/>
      <c r="H359" s="22" t="n"/>
      <c r="I359" s="22" t="n"/>
      <c r="J359" s="22" t="n"/>
      <c r="K359" s="19" t="n"/>
      <c r="L359" s="19" t="n"/>
      <c r="M359" s="19" t="n"/>
      <c r="N359" s="19" t="n"/>
      <c r="O359" s="23">
        <f>IF(J359="","",H359+I359)</f>
        <v/>
      </c>
      <c r="P359" s="23">
        <f>IF(J359="","",J359-O359)</f>
        <v/>
      </c>
      <c r="Q359" s="24">
        <f>IF(OR(J359="",J359=0),"",P359/J359)</f>
        <v/>
      </c>
      <c r="R359" s="25">
        <f>IF(OR(A359="",B359=""),"",B359-A359)</f>
        <v/>
      </c>
      <c r="S359" s="26">
        <f>IF(B359="","",YEAR(B359))</f>
        <v/>
      </c>
      <c r="T359" s="27">
        <f>IF(B359="","",IF(OR(F359="Electric",F359="Plug-in",F359="Hibrid"),1,0))</f>
        <v/>
      </c>
    </row>
    <row r="360">
      <c r="A360" s="18" t="n"/>
      <c r="B360" s="18" t="n"/>
      <c r="C360" s="19" t="n"/>
      <c r="D360" s="19" t="n"/>
      <c r="E360" s="20" t="n"/>
      <c r="F360" s="19" t="n"/>
      <c r="G360" s="21" t="n"/>
      <c r="H360" s="22" t="n"/>
      <c r="I360" s="22" t="n"/>
      <c r="J360" s="22" t="n"/>
      <c r="K360" s="19" t="n"/>
      <c r="L360" s="19" t="n"/>
      <c r="M360" s="19" t="n"/>
      <c r="N360" s="19" t="n"/>
      <c r="O360" s="23">
        <f>IF(J360="","",H360+I360)</f>
        <v/>
      </c>
      <c r="P360" s="23">
        <f>IF(J360="","",J360-O360)</f>
        <v/>
      </c>
      <c r="Q360" s="24">
        <f>IF(OR(J360="",J360=0),"",P360/J360)</f>
        <v/>
      </c>
      <c r="R360" s="25">
        <f>IF(OR(A360="",B360=""),"",B360-A360)</f>
        <v/>
      </c>
      <c r="S360" s="26">
        <f>IF(B360="","",YEAR(B360))</f>
        <v/>
      </c>
      <c r="T360" s="27">
        <f>IF(B360="","",IF(OR(F360="Electric",F360="Plug-in",F360="Hibrid"),1,0))</f>
        <v/>
      </c>
    </row>
    <row r="361">
      <c r="A361" s="18" t="n"/>
      <c r="B361" s="18" t="n"/>
      <c r="C361" s="19" t="n"/>
      <c r="D361" s="19" t="n"/>
      <c r="E361" s="20" t="n"/>
      <c r="F361" s="19" t="n"/>
      <c r="G361" s="21" t="n"/>
      <c r="H361" s="22" t="n"/>
      <c r="I361" s="22" t="n"/>
      <c r="J361" s="22" t="n"/>
      <c r="K361" s="19" t="n"/>
      <c r="L361" s="19" t="n"/>
      <c r="M361" s="19" t="n"/>
      <c r="N361" s="19" t="n"/>
      <c r="O361" s="23">
        <f>IF(J361="","",H361+I361)</f>
        <v/>
      </c>
      <c r="P361" s="23">
        <f>IF(J361="","",J361-O361)</f>
        <v/>
      </c>
      <c r="Q361" s="24">
        <f>IF(OR(J361="",J361=0),"",P361/J361)</f>
        <v/>
      </c>
      <c r="R361" s="25">
        <f>IF(OR(A361="",B361=""),"",B361-A361)</f>
        <v/>
      </c>
      <c r="S361" s="26">
        <f>IF(B361="","",YEAR(B361))</f>
        <v/>
      </c>
      <c r="T361" s="27">
        <f>IF(B361="","",IF(OR(F361="Electric",F361="Plug-in",F361="Hibrid"),1,0))</f>
        <v/>
      </c>
    </row>
    <row r="362">
      <c r="A362" s="18" t="n"/>
      <c r="B362" s="18" t="n"/>
      <c r="C362" s="19" t="n"/>
      <c r="D362" s="19" t="n"/>
      <c r="E362" s="20" t="n"/>
      <c r="F362" s="19" t="n"/>
      <c r="G362" s="21" t="n"/>
      <c r="H362" s="22" t="n"/>
      <c r="I362" s="22" t="n"/>
      <c r="J362" s="22" t="n"/>
      <c r="K362" s="19" t="n"/>
      <c r="L362" s="19" t="n"/>
      <c r="M362" s="19" t="n"/>
      <c r="N362" s="19" t="n"/>
      <c r="O362" s="23">
        <f>IF(J362="","",H362+I362)</f>
        <v/>
      </c>
      <c r="P362" s="23">
        <f>IF(J362="","",J362-O362)</f>
        <v/>
      </c>
      <c r="Q362" s="24">
        <f>IF(OR(J362="",J362=0),"",P362/J362)</f>
        <v/>
      </c>
      <c r="R362" s="25">
        <f>IF(OR(A362="",B362=""),"",B362-A362)</f>
        <v/>
      </c>
      <c r="S362" s="26">
        <f>IF(B362="","",YEAR(B362))</f>
        <v/>
      </c>
      <c r="T362" s="27">
        <f>IF(B362="","",IF(OR(F362="Electric",F362="Plug-in",F362="Hibrid"),1,0))</f>
        <v/>
      </c>
    </row>
    <row r="363">
      <c r="A363" s="18" t="n"/>
      <c r="B363" s="18" t="n"/>
      <c r="C363" s="19" t="n"/>
      <c r="D363" s="19" t="n"/>
      <c r="E363" s="20" t="n"/>
      <c r="F363" s="19" t="n"/>
      <c r="G363" s="21" t="n"/>
      <c r="H363" s="22" t="n"/>
      <c r="I363" s="22" t="n"/>
      <c r="J363" s="22" t="n"/>
      <c r="K363" s="19" t="n"/>
      <c r="L363" s="19" t="n"/>
      <c r="M363" s="19" t="n"/>
      <c r="N363" s="19" t="n"/>
      <c r="O363" s="23">
        <f>IF(J363="","",H363+I363)</f>
        <v/>
      </c>
      <c r="P363" s="23">
        <f>IF(J363="","",J363-O363)</f>
        <v/>
      </c>
      <c r="Q363" s="24">
        <f>IF(OR(J363="",J363=0),"",P363/J363)</f>
        <v/>
      </c>
      <c r="R363" s="25">
        <f>IF(OR(A363="",B363=""),"",B363-A363)</f>
        <v/>
      </c>
      <c r="S363" s="26">
        <f>IF(B363="","",YEAR(B363))</f>
        <v/>
      </c>
      <c r="T363" s="27">
        <f>IF(B363="","",IF(OR(F363="Electric",F363="Plug-in",F363="Hibrid"),1,0))</f>
        <v/>
      </c>
    </row>
    <row r="364">
      <c r="A364" s="18" t="n"/>
      <c r="B364" s="18" t="n"/>
      <c r="C364" s="19" t="n"/>
      <c r="D364" s="19" t="n"/>
      <c r="E364" s="20" t="n"/>
      <c r="F364" s="19" t="n"/>
      <c r="G364" s="21" t="n"/>
      <c r="H364" s="22" t="n"/>
      <c r="I364" s="22" t="n"/>
      <c r="J364" s="22" t="n"/>
      <c r="K364" s="19" t="n"/>
      <c r="L364" s="19" t="n"/>
      <c r="M364" s="19" t="n"/>
      <c r="N364" s="19" t="n"/>
      <c r="O364" s="23">
        <f>IF(J364="","",H364+I364)</f>
        <v/>
      </c>
      <c r="P364" s="23">
        <f>IF(J364="","",J364-O364)</f>
        <v/>
      </c>
      <c r="Q364" s="24">
        <f>IF(OR(J364="",J364=0),"",P364/J364)</f>
        <v/>
      </c>
      <c r="R364" s="25">
        <f>IF(OR(A364="",B364=""),"",B364-A364)</f>
        <v/>
      </c>
      <c r="S364" s="26">
        <f>IF(B364="","",YEAR(B364))</f>
        <v/>
      </c>
      <c r="T364" s="27">
        <f>IF(B364="","",IF(OR(F364="Electric",F364="Plug-in",F364="Hibrid"),1,0))</f>
        <v/>
      </c>
    </row>
    <row r="365">
      <c r="A365" s="18" t="n"/>
      <c r="B365" s="18" t="n"/>
      <c r="C365" s="19" t="n"/>
      <c r="D365" s="19" t="n"/>
      <c r="E365" s="20" t="n"/>
      <c r="F365" s="19" t="n"/>
      <c r="G365" s="21" t="n"/>
      <c r="H365" s="22" t="n"/>
      <c r="I365" s="22" t="n"/>
      <c r="J365" s="22" t="n"/>
      <c r="K365" s="19" t="n"/>
      <c r="L365" s="19" t="n"/>
      <c r="M365" s="19" t="n"/>
      <c r="N365" s="19" t="n"/>
      <c r="O365" s="23">
        <f>IF(J365="","",H365+I365)</f>
        <v/>
      </c>
      <c r="P365" s="23">
        <f>IF(J365="","",J365-O365)</f>
        <v/>
      </c>
      <c r="Q365" s="24">
        <f>IF(OR(J365="",J365=0),"",P365/J365)</f>
        <v/>
      </c>
      <c r="R365" s="25">
        <f>IF(OR(A365="",B365=""),"",B365-A365)</f>
        <v/>
      </c>
      <c r="S365" s="26">
        <f>IF(B365="","",YEAR(B365))</f>
        <v/>
      </c>
      <c r="T365" s="27">
        <f>IF(B365="","",IF(OR(F365="Electric",F365="Plug-in",F365="Hibrid"),1,0))</f>
        <v/>
      </c>
    </row>
    <row r="366">
      <c r="A366" s="18" t="n"/>
      <c r="B366" s="18" t="n"/>
      <c r="C366" s="19" t="n"/>
      <c r="D366" s="19" t="n"/>
      <c r="E366" s="20" t="n"/>
      <c r="F366" s="19" t="n"/>
      <c r="G366" s="21" t="n"/>
      <c r="H366" s="22" t="n"/>
      <c r="I366" s="22" t="n"/>
      <c r="J366" s="22" t="n"/>
      <c r="K366" s="19" t="n"/>
      <c r="L366" s="19" t="n"/>
      <c r="M366" s="19" t="n"/>
      <c r="N366" s="19" t="n"/>
      <c r="O366" s="23">
        <f>IF(J366="","",H366+I366)</f>
        <v/>
      </c>
      <c r="P366" s="23">
        <f>IF(J366="","",J366-O366)</f>
        <v/>
      </c>
      <c r="Q366" s="24">
        <f>IF(OR(J366="",J366=0),"",P366/J366)</f>
        <v/>
      </c>
      <c r="R366" s="25">
        <f>IF(OR(A366="",B366=""),"",B366-A366)</f>
        <v/>
      </c>
      <c r="S366" s="26">
        <f>IF(B366="","",YEAR(B366))</f>
        <v/>
      </c>
      <c r="T366" s="27">
        <f>IF(B366="","",IF(OR(F366="Electric",F366="Plug-in",F366="Hibrid"),1,0))</f>
        <v/>
      </c>
    </row>
    <row r="367">
      <c r="A367" s="18" t="n"/>
      <c r="B367" s="18" t="n"/>
      <c r="C367" s="19" t="n"/>
      <c r="D367" s="19" t="n"/>
      <c r="E367" s="20" t="n"/>
      <c r="F367" s="19" t="n"/>
      <c r="G367" s="21" t="n"/>
      <c r="H367" s="22" t="n"/>
      <c r="I367" s="22" t="n"/>
      <c r="J367" s="22" t="n"/>
      <c r="K367" s="19" t="n"/>
      <c r="L367" s="19" t="n"/>
      <c r="M367" s="19" t="n"/>
      <c r="N367" s="19" t="n"/>
      <c r="O367" s="23">
        <f>IF(J367="","",H367+I367)</f>
        <v/>
      </c>
      <c r="P367" s="23">
        <f>IF(J367="","",J367-O367)</f>
        <v/>
      </c>
      <c r="Q367" s="24">
        <f>IF(OR(J367="",J367=0),"",P367/J367)</f>
        <v/>
      </c>
      <c r="R367" s="25">
        <f>IF(OR(A367="",B367=""),"",B367-A367)</f>
        <v/>
      </c>
      <c r="S367" s="26">
        <f>IF(B367="","",YEAR(B367))</f>
        <v/>
      </c>
      <c r="T367" s="27">
        <f>IF(B367="","",IF(OR(F367="Electric",F367="Plug-in",F367="Hibrid"),1,0))</f>
        <v/>
      </c>
    </row>
    <row r="368">
      <c r="A368" s="18" t="n"/>
      <c r="B368" s="18" t="n"/>
      <c r="C368" s="19" t="n"/>
      <c r="D368" s="19" t="n"/>
      <c r="E368" s="20" t="n"/>
      <c r="F368" s="19" t="n"/>
      <c r="G368" s="21" t="n"/>
      <c r="H368" s="22" t="n"/>
      <c r="I368" s="22" t="n"/>
      <c r="J368" s="22" t="n"/>
      <c r="K368" s="19" t="n"/>
      <c r="L368" s="19" t="n"/>
      <c r="M368" s="19" t="n"/>
      <c r="N368" s="19" t="n"/>
      <c r="O368" s="23">
        <f>IF(J368="","",H368+I368)</f>
        <v/>
      </c>
      <c r="P368" s="23">
        <f>IF(J368="","",J368-O368)</f>
        <v/>
      </c>
      <c r="Q368" s="24">
        <f>IF(OR(J368="",J368=0),"",P368/J368)</f>
        <v/>
      </c>
      <c r="R368" s="25">
        <f>IF(OR(A368="",B368=""),"",B368-A368)</f>
        <v/>
      </c>
      <c r="S368" s="26">
        <f>IF(B368="","",YEAR(B368))</f>
        <v/>
      </c>
      <c r="T368" s="27">
        <f>IF(B368="","",IF(OR(F368="Electric",F368="Plug-in",F368="Hibrid"),1,0))</f>
        <v/>
      </c>
    </row>
    <row r="369">
      <c r="A369" s="18" t="n"/>
      <c r="B369" s="18" t="n"/>
      <c r="C369" s="19" t="n"/>
      <c r="D369" s="19" t="n"/>
      <c r="E369" s="20" t="n"/>
      <c r="F369" s="19" t="n"/>
      <c r="G369" s="21" t="n"/>
      <c r="H369" s="22" t="n"/>
      <c r="I369" s="22" t="n"/>
      <c r="J369" s="22" t="n"/>
      <c r="K369" s="19" t="n"/>
      <c r="L369" s="19" t="n"/>
      <c r="M369" s="19" t="n"/>
      <c r="N369" s="19" t="n"/>
      <c r="O369" s="23">
        <f>IF(J369="","",H369+I369)</f>
        <v/>
      </c>
      <c r="P369" s="23">
        <f>IF(J369="","",J369-O369)</f>
        <v/>
      </c>
      <c r="Q369" s="24">
        <f>IF(OR(J369="",J369=0),"",P369/J369)</f>
        <v/>
      </c>
      <c r="R369" s="25">
        <f>IF(OR(A369="",B369=""),"",B369-A369)</f>
        <v/>
      </c>
      <c r="S369" s="26">
        <f>IF(B369="","",YEAR(B369))</f>
        <v/>
      </c>
      <c r="T369" s="27">
        <f>IF(B369="","",IF(OR(F369="Electric",F369="Plug-in",F369="Hibrid"),1,0))</f>
        <v/>
      </c>
    </row>
    <row r="370">
      <c r="A370" s="18" t="n"/>
      <c r="B370" s="18" t="n"/>
      <c r="C370" s="19" t="n"/>
      <c r="D370" s="19" t="n"/>
      <c r="E370" s="20" t="n"/>
      <c r="F370" s="19" t="n"/>
      <c r="G370" s="21" t="n"/>
      <c r="H370" s="22" t="n"/>
      <c r="I370" s="22" t="n"/>
      <c r="J370" s="22" t="n"/>
      <c r="K370" s="19" t="n"/>
      <c r="L370" s="19" t="n"/>
      <c r="M370" s="19" t="n"/>
      <c r="N370" s="19" t="n"/>
      <c r="O370" s="23">
        <f>IF(J370="","",H370+I370)</f>
        <v/>
      </c>
      <c r="P370" s="23">
        <f>IF(J370="","",J370-O370)</f>
        <v/>
      </c>
      <c r="Q370" s="24">
        <f>IF(OR(J370="",J370=0),"",P370/J370)</f>
        <v/>
      </c>
      <c r="R370" s="25">
        <f>IF(OR(A370="",B370=""),"",B370-A370)</f>
        <v/>
      </c>
      <c r="S370" s="26">
        <f>IF(B370="","",YEAR(B370))</f>
        <v/>
      </c>
      <c r="T370" s="27">
        <f>IF(B370="","",IF(OR(F370="Electric",F370="Plug-in",F370="Hibrid"),1,0))</f>
        <v/>
      </c>
    </row>
    <row r="371">
      <c r="A371" s="18" t="n"/>
      <c r="B371" s="18" t="n"/>
      <c r="C371" s="19" t="n"/>
      <c r="D371" s="19" t="n"/>
      <c r="E371" s="20" t="n"/>
      <c r="F371" s="19" t="n"/>
      <c r="G371" s="21" t="n"/>
      <c r="H371" s="22" t="n"/>
      <c r="I371" s="22" t="n"/>
      <c r="J371" s="22" t="n"/>
      <c r="K371" s="19" t="n"/>
      <c r="L371" s="19" t="n"/>
      <c r="M371" s="19" t="n"/>
      <c r="N371" s="19" t="n"/>
      <c r="O371" s="23">
        <f>IF(J371="","",H371+I371)</f>
        <v/>
      </c>
      <c r="P371" s="23">
        <f>IF(J371="","",J371-O371)</f>
        <v/>
      </c>
      <c r="Q371" s="24">
        <f>IF(OR(J371="",J371=0),"",P371/J371)</f>
        <v/>
      </c>
      <c r="R371" s="25">
        <f>IF(OR(A371="",B371=""),"",B371-A371)</f>
        <v/>
      </c>
      <c r="S371" s="26">
        <f>IF(B371="","",YEAR(B371))</f>
        <v/>
      </c>
      <c r="T371" s="27">
        <f>IF(B371="","",IF(OR(F371="Electric",F371="Plug-in",F371="Hibrid"),1,0))</f>
        <v/>
      </c>
    </row>
    <row r="372">
      <c r="A372" s="18" t="n"/>
      <c r="B372" s="18" t="n"/>
      <c r="C372" s="19" t="n"/>
      <c r="D372" s="19" t="n"/>
      <c r="E372" s="20" t="n"/>
      <c r="F372" s="19" t="n"/>
      <c r="G372" s="21" t="n"/>
      <c r="H372" s="22" t="n"/>
      <c r="I372" s="22" t="n"/>
      <c r="J372" s="22" t="n"/>
      <c r="K372" s="19" t="n"/>
      <c r="L372" s="19" t="n"/>
      <c r="M372" s="19" t="n"/>
      <c r="N372" s="19" t="n"/>
      <c r="O372" s="23">
        <f>IF(J372="","",H372+I372)</f>
        <v/>
      </c>
      <c r="P372" s="23">
        <f>IF(J372="","",J372-O372)</f>
        <v/>
      </c>
      <c r="Q372" s="24">
        <f>IF(OR(J372="",J372=0),"",P372/J372)</f>
        <v/>
      </c>
      <c r="R372" s="25">
        <f>IF(OR(A372="",B372=""),"",B372-A372)</f>
        <v/>
      </c>
      <c r="S372" s="26">
        <f>IF(B372="","",YEAR(B372))</f>
        <v/>
      </c>
      <c r="T372" s="27">
        <f>IF(B372="","",IF(OR(F372="Electric",F372="Plug-in",F372="Hibrid"),1,0))</f>
        <v/>
      </c>
    </row>
    <row r="373">
      <c r="A373" s="18" t="n"/>
      <c r="B373" s="18" t="n"/>
      <c r="C373" s="19" t="n"/>
      <c r="D373" s="19" t="n"/>
      <c r="E373" s="20" t="n"/>
      <c r="F373" s="19" t="n"/>
      <c r="G373" s="21" t="n"/>
      <c r="H373" s="22" t="n"/>
      <c r="I373" s="22" t="n"/>
      <c r="J373" s="22" t="n"/>
      <c r="K373" s="19" t="n"/>
      <c r="L373" s="19" t="n"/>
      <c r="M373" s="19" t="n"/>
      <c r="N373" s="19" t="n"/>
      <c r="O373" s="23">
        <f>IF(J373="","",H373+I373)</f>
        <v/>
      </c>
      <c r="P373" s="23">
        <f>IF(J373="","",J373-O373)</f>
        <v/>
      </c>
      <c r="Q373" s="24">
        <f>IF(OR(J373="",J373=0),"",P373/J373)</f>
        <v/>
      </c>
      <c r="R373" s="25">
        <f>IF(OR(A373="",B373=""),"",B373-A373)</f>
        <v/>
      </c>
      <c r="S373" s="26">
        <f>IF(B373="","",YEAR(B373))</f>
        <v/>
      </c>
      <c r="T373" s="27">
        <f>IF(B373="","",IF(OR(F373="Electric",F373="Plug-in",F373="Hibrid"),1,0))</f>
        <v/>
      </c>
    </row>
    <row r="374">
      <c r="A374" s="18" t="n"/>
      <c r="B374" s="18" t="n"/>
      <c r="C374" s="19" t="n"/>
      <c r="D374" s="19" t="n"/>
      <c r="E374" s="20" t="n"/>
      <c r="F374" s="19" t="n"/>
      <c r="G374" s="21" t="n"/>
      <c r="H374" s="22" t="n"/>
      <c r="I374" s="22" t="n"/>
      <c r="J374" s="22" t="n"/>
      <c r="K374" s="19" t="n"/>
      <c r="L374" s="19" t="n"/>
      <c r="M374" s="19" t="n"/>
      <c r="N374" s="19" t="n"/>
      <c r="O374" s="23">
        <f>IF(J374="","",H374+I374)</f>
        <v/>
      </c>
      <c r="P374" s="23">
        <f>IF(J374="","",J374-O374)</f>
        <v/>
      </c>
      <c r="Q374" s="24">
        <f>IF(OR(J374="",J374=0),"",P374/J374)</f>
        <v/>
      </c>
      <c r="R374" s="25">
        <f>IF(OR(A374="",B374=""),"",B374-A374)</f>
        <v/>
      </c>
      <c r="S374" s="26">
        <f>IF(B374="","",YEAR(B374))</f>
        <v/>
      </c>
      <c r="T374" s="27">
        <f>IF(B374="","",IF(OR(F374="Electric",F374="Plug-in",F374="Hibrid"),1,0))</f>
        <v/>
      </c>
    </row>
    <row r="375">
      <c r="A375" s="18" t="n"/>
      <c r="B375" s="18" t="n"/>
      <c r="C375" s="19" t="n"/>
      <c r="D375" s="19" t="n"/>
      <c r="E375" s="20" t="n"/>
      <c r="F375" s="19" t="n"/>
      <c r="G375" s="21" t="n"/>
      <c r="H375" s="22" t="n"/>
      <c r="I375" s="22" t="n"/>
      <c r="J375" s="22" t="n"/>
      <c r="K375" s="19" t="n"/>
      <c r="L375" s="19" t="n"/>
      <c r="M375" s="19" t="n"/>
      <c r="N375" s="19" t="n"/>
      <c r="O375" s="23">
        <f>IF(J375="","",H375+I375)</f>
        <v/>
      </c>
      <c r="P375" s="23">
        <f>IF(J375="","",J375-O375)</f>
        <v/>
      </c>
      <c r="Q375" s="24">
        <f>IF(OR(J375="",J375=0),"",P375/J375)</f>
        <v/>
      </c>
      <c r="R375" s="25">
        <f>IF(OR(A375="",B375=""),"",B375-A375)</f>
        <v/>
      </c>
      <c r="S375" s="26">
        <f>IF(B375="","",YEAR(B375))</f>
        <v/>
      </c>
      <c r="T375" s="27">
        <f>IF(B375="","",IF(OR(F375="Electric",F375="Plug-in",F375="Hibrid"),1,0))</f>
        <v/>
      </c>
    </row>
    <row r="376">
      <c r="A376" s="18" t="n"/>
      <c r="B376" s="18" t="n"/>
      <c r="C376" s="19" t="n"/>
      <c r="D376" s="19" t="n"/>
      <c r="E376" s="20" t="n"/>
      <c r="F376" s="19" t="n"/>
      <c r="G376" s="21" t="n"/>
      <c r="H376" s="22" t="n"/>
      <c r="I376" s="22" t="n"/>
      <c r="J376" s="22" t="n"/>
      <c r="K376" s="19" t="n"/>
      <c r="L376" s="19" t="n"/>
      <c r="M376" s="19" t="n"/>
      <c r="N376" s="19" t="n"/>
      <c r="O376" s="23">
        <f>IF(J376="","",H376+I376)</f>
        <v/>
      </c>
      <c r="P376" s="23">
        <f>IF(J376="","",J376-O376)</f>
        <v/>
      </c>
      <c r="Q376" s="24">
        <f>IF(OR(J376="",J376=0),"",P376/J376)</f>
        <v/>
      </c>
      <c r="R376" s="25">
        <f>IF(OR(A376="",B376=""),"",B376-A376)</f>
        <v/>
      </c>
      <c r="S376" s="26">
        <f>IF(B376="","",YEAR(B376))</f>
        <v/>
      </c>
      <c r="T376" s="27">
        <f>IF(B376="","",IF(OR(F376="Electric",F376="Plug-in",F376="Hibrid"),1,0))</f>
        <v/>
      </c>
    </row>
    <row r="377">
      <c r="A377" s="18" t="n"/>
      <c r="B377" s="18" t="n"/>
      <c r="C377" s="19" t="n"/>
      <c r="D377" s="19" t="n"/>
      <c r="E377" s="20" t="n"/>
      <c r="F377" s="19" t="n"/>
      <c r="G377" s="21" t="n"/>
      <c r="H377" s="22" t="n"/>
      <c r="I377" s="22" t="n"/>
      <c r="J377" s="22" t="n"/>
      <c r="K377" s="19" t="n"/>
      <c r="L377" s="19" t="n"/>
      <c r="M377" s="19" t="n"/>
      <c r="N377" s="19" t="n"/>
      <c r="O377" s="23">
        <f>IF(J377="","",H377+I377)</f>
        <v/>
      </c>
      <c r="P377" s="23">
        <f>IF(J377="","",J377-O377)</f>
        <v/>
      </c>
      <c r="Q377" s="24">
        <f>IF(OR(J377="",J377=0),"",P377/J377)</f>
        <v/>
      </c>
      <c r="R377" s="25">
        <f>IF(OR(A377="",B377=""),"",B377-A377)</f>
        <v/>
      </c>
      <c r="S377" s="26">
        <f>IF(B377="","",YEAR(B377))</f>
        <v/>
      </c>
      <c r="T377" s="27">
        <f>IF(B377="","",IF(OR(F377="Electric",F377="Plug-in",F377="Hibrid"),1,0))</f>
        <v/>
      </c>
    </row>
    <row r="378">
      <c r="A378" s="18" t="n"/>
      <c r="B378" s="18" t="n"/>
      <c r="C378" s="19" t="n"/>
      <c r="D378" s="19" t="n"/>
      <c r="E378" s="20" t="n"/>
      <c r="F378" s="19" t="n"/>
      <c r="G378" s="21" t="n"/>
      <c r="H378" s="22" t="n"/>
      <c r="I378" s="22" t="n"/>
      <c r="J378" s="22" t="n"/>
      <c r="K378" s="19" t="n"/>
      <c r="L378" s="19" t="n"/>
      <c r="M378" s="19" t="n"/>
      <c r="N378" s="19" t="n"/>
      <c r="O378" s="23">
        <f>IF(J378="","",H378+I378)</f>
        <v/>
      </c>
      <c r="P378" s="23">
        <f>IF(J378="","",J378-O378)</f>
        <v/>
      </c>
      <c r="Q378" s="24">
        <f>IF(OR(J378="",J378=0),"",P378/J378)</f>
        <v/>
      </c>
      <c r="R378" s="25">
        <f>IF(OR(A378="",B378=""),"",B378-A378)</f>
        <v/>
      </c>
      <c r="S378" s="26">
        <f>IF(B378="","",YEAR(B378))</f>
        <v/>
      </c>
      <c r="T378" s="27">
        <f>IF(B378="","",IF(OR(F378="Electric",F378="Plug-in",F378="Hibrid"),1,0))</f>
        <v/>
      </c>
    </row>
    <row r="379">
      <c r="A379" s="18" t="n"/>
      <c r="B379" s="18" t="n"/>
      <c r="C379" s="19" t="n"/>
      <c r="D379" s="19" t="n"/>
      <c r="E379" s="20" t="n"/>
      <c r="F379" s="19" t="n"/>
      <c r="G379" s="21" t="n"/>
      <c r="H379" s="22" t="n"/>
      <c r="I379" s="22" t="n"/>
      <c r="J379" s="22" t="n"/>
      <c r="K379" s="19" t="n"/>
      <c r="L379" s="19" t="n"/>
      <c r="M379" s="19" t="n"/>
      <c r="N379" s="19" t="n"/>
      <c r="O379" s="23">
        <f>IF(J379="","",H379+I379)</f>
        <v/>
      </c>
      <c r="P379" s="23">
        <f>IF(J379="","",J379-O379)</f>
        <v/>
      </c>
      <c r="Q379" s="24">
        <f>IF(OR(J379="",J379=0),"",P379/J379)</f>
        <v/>
      </c>
      <c r="R379" s="25">
        <f>IF(OR(A379="",B379=""),"",B379-A379)</f>
        <v/>
      </c>
      <c r="S379" s="26">
        <f>IF(B379="","",YEAR(B379))</f>
        <v/>
      </c>
      <c r="T379" s="27">
        <f>IF(B379="","",IF(OR(F379="Electric",F379="Plug-in",F379="Hibrid"),1,0))</f>
        <v/>
      </c>
    </row>
    <row r="380">
      <c r="A380" s="18" t="n"/>
      <c r="B380" s="18" t="n"/>
      <c r="C380" s="19" t="n"/>
      <c r="D380" s="19" t="n"/>
      <c r="E380" s="20" t="n"/>
      <c r="F380" s="19" t="n"/>
      <c r="G380" s="21" t="n"/>
      <c r="H380" s="22" t="n"/>
      <c r="I380" s="22" t="n"/>
      <c r="J380" s="22" t="n"/>
      <c r="K380" s="19" t="n"/>
      <c r="L380" s="19" t="n"/>
      <c r="M380" s="19" t="n"/>
      <c r="N380" s="19" t="n"/>
      <c r="O380" s="23">
        <f>IF(J380="","",H380+I380)</f>
        <v/>
      </c>
      <c r="P380" s="23">
        <f>IF(J380="","",J380-O380)</f>
        <v/>
      </c>
      <c r="Q380" s="24">
        <f>IF(OR(J380="",J380=0),"",P380/J380)</f>
        <v/>
      </c>
      <c r="R380" s="25">
        <f>IF(OR(A380="",B380=""),"",B380-A380)</f>
        <v/>
      </c>
      <c r="S380" s="26">
        <f>IF(B380="","",YEAR(B380))</f>
        <v/>
      </c>
      <c r="T380" s="27">
        <f>IF(B380="","",IF(OR(F380="Electric",F380="Plug-in",F380="Hibrid"),1,0))</f>
        <v/>
      </c>
    </row>
    <row r="381">
      <c r="A381" s="18" t="n"/>
      <c r="B381" s="18" t="n"/>
      <c r="C381" s="19" t="n"/>
      <c r="D381" s="19" t="n"/>
      <c r="E381" s="20" t="n"/>
      <c r="F381" s="19" t="n"/>
      <c r="G381" s="21" t="n"/>
      <c r="H381" s="22" t="n"/>
      <c r="I381" s="22" t="n"/>
      <c r="J381" s="22" t="n"/>
      <c r="K381" s="19" t="n"/>
      <c r="L381" s="19" t="n"/>
      <c r="M381" s="19" t="n"/>
      <c r="N381" s="19" t="n"/>
      <c r="O381" s="23">
        <f>IF(J381="","",H381+I381)</f>
        <v/>
      </c>
      <c r="P381" s="23">
        <f>IF(J381="","",J381-O381)</f>
        <v/>
      </c>
      <c r="Q381" s="24">
        <f>IF(OR(J381="",J381=0),"",P381/J381)</f>
        <v/>
      </c>
      <c r="R381" s="25">
        <f>IF(OR(A381="",B381=""),"",B381-A381)</f>
        <v/>
      </c>
      <c r="S381" s="26">
        <f>IF(B381="","",YEAR(B381))</f>
        <v/>
      </c>
      <c r="T381" s="27">
        <f>IF(B381="","",IF(OR(F381="Electric",F381="Plug-in",F381="Hibrid"),1,0))</f>
        <v/>
      </c>
    </row>
    <row r="382">
      <c r="A382" s="18" t="n"/>
      <c r="B382" s="18" t="n"/>
      <c r="C382" s="19" t="n"/>
      <c r="D382" s="19" t="n"/>
      <c r="E382" s="20" t="n"/>
      <c r="F382" s="19" t="n"/>
      <c r="G382" s="21" t="n"/>
      <c r="H382" s="22" t="n"/>
      <c r="I382" s="22" t="n"/>
      <c r="J382" s="22" t="n"/>
      <c r="K382" s="19" t="n"/>
      <c r="L382" s="19" t="n"/>
      <c r="M382" s="19" t="n"/>
      <c r="N382" s="19" t="n"/>
      <c r="O382" s="23">
        <f>IF(J382="","",H382+I382)</f>
        <v/>
      </c>
      <c r="P382" s="23">
        <f>IF(J382="","",J382-O382)</f>
        <v/>
      </c>
      <c r="Q382" s="24">
        <f>IF(OR(J382="",J382=0),"",P382/J382)</f>
        <v/>
      </c>
      <c r="R382" s="25">
        <f>IF(OR(A382="",B382=""),"",B382-A382)</f>
        <v/>
      </c>
      <c r="S382" s="26">
        <f>IF(B382="","",YEAR(B382))</f>
        <v/>
      </c>
      <c r="T382" s="27">
        <f>IF(B382="","",IF(OR(F382="Electric",F382="Plug-in",F382="Hibrid"),1,0))</f>
        <v/>
      </c>
    </row>
    <row r="383">
      <c r="A383" s="18" t="n"/>
      <c r="B383" s="18" t="n"/>
      <c r="C383" s="19" t="n"/>
      <c r="D383" s="19" t="n"/>
      <c r="E383" s="20" t="n"/>
      <c r="F383" s="19" t="n"/>
      <c r="G383" s="21" t="n"/>
      <c r="H383" s="22" t="n"/>
      <c r="I383" s="22" t="n"/>
      <c r="J383" s="22" t="n"/>
      <c r="K383" s="19" t="n"/>
      <c r="L383" s="19" t="n"/>
      <c r="M383" s="19" t="n"/>
      <c r="N383" s="19" t="n"/>
      <c r="O383" s="23">
        <f>IF(J383="","",H383+I383)</f>
        <v/>
      </c>
      <c r="P383" s="23">
        <f>IF(J383="","",J383-O383)</f>
        <v/>
      </c>
      <c r="Q383" s="24">
        <f>IF(OR(J383="",J383=0),"",P383/J383)</f>
        <v/>
      </c>
      <c r="R383" s="25">
        <f>IF(OR(A383="",B383=""),"",B383-A383)</f>
        <v/>
      </c>
      <c r="S383" s="26">
        <f>IF(B383="","",YEAR(B383))</f>
        <v/>
      </c>
      <c r="T383" s="27">
        <f>IF(B383="","",IF(OR(F383="Electric",F383="Plug-in",F383="Hibrid"),1,0))</f>
        <v/>
      </c>
    </row>
    <row r="384">
      <c r="A384" s="18" t="n"/>
      <c r="B384" s="18" t="n"/>
      <c r="C384" s="19" t="n"/>
      <c r="D384" s="19" t="n"/>
      <c r="E384" s="20" t="n"/>
      <c r="F384" s="19" t="n"/>
      <c r="G384" s="21" t="n"/>
      <c r="H384" s="22" t="n"/>
      <c r="I384" s="22" t="n"/>
      <c r="J384" s="22" t="n"/>
      <c r="K384" s="19" t="n"/>
      <c r="L384" s="19" t="n"/>
      <c r="M384" s="19" t="n"/>
      <c r="N384" s="19" t="n"/>
      <c r="O384" s="23">
        <f>IF(J384="","",H384+I384)</f>
        <v/>
      </c>
      <c r="P384" s="23">
        <f>IF(J384="","",J384-O384)</f>
        <v/>
      </c>
      <c r="Q384" s="24">
        <f>IF(OR(J384="",J384=0),"",P384/J384)</f>
        <v/>
      </c>
      <c r="R384" s="25">
        <f>IF(OR(A384="",B384=""),"",B384-A384)</f>
        <v/>
      </c>
      <c r="S384" s="26">
        <f>IF(B384="","",YEAR(B384))</f>
        <v/>
      </c>
      <c r="T384" s="27">
        <f>IF(B384="","",IF(OR(F384="Electric",F384="Plug-in",F384="Hibrid"),1,0))</f>
        <v/>
      </c>
    </row>
    <row r="385">
      <c r="A385" s="18" t="n"/>
      <c r="B385" s="18" t="n"/>
      <c r="C385" s="19" t="n"/>
      <c r="D385" s="19" t="n"/>
      <c r="E385" s="20" t="n"/>
      <c r="F385" s="19" t="n"/>
      <c r="G385" s="21" t="n"/>
      <c r="H385" s="22" t="n"/>
      <c r="I385" s="22" t="n"/>
      <c r="J385" s="22" t="n"/>
      <c r="K385" s="19" t="n"/>
      <c r="L385" s="19" t="n"/>
      <c r="M385" s="19" t="n"/>
      <c r="N385" s="19" t="n"/>
      <c r="O385" s="23">
        <f>IF(J385="","",H385+I385)</f>
        <v/>
      </c>
      <c r="P385" s="23">
        <f>IF(J385="","",J385-O385)</f>
        <v/>
      </c>
      <c r="Q385" s="24">
        <f>IF(OR(J385="",J385=0),"",P385/J385)</f>
        <v/>
      </c>
      <c r="R385" s="25">
        <f>IF(OR(A385="",B385=""),"",B385-A385)</f>
        <v/>
      </c>
      <c r="S385" s="26">
        <f>IF(B385="","",YEAR(B385))</f>
        <v/>
      </c>
      <c r="T385" s="27">
        <f>IF(B385="","",IF(OR(F385="Electric",F385="Plug-in",F385="Hibrid"),1,0))</f>
        <v/>
      </c>
    </row>
    <row r="386">
      <c r="A386" s="18" t="n"/>
      <c r="B386" s="18" t="n"/>
      <c r="C386" s="19" t="n"/>
      <c r="D386" s="19" t="n"/>
      <c r="E386" s="20" t="n"/>
      <c r="F386" s="19" t="n"/>
      <c r="G386" s="21" t="n"/>
      <c r="H386" s="22" t="n"/>
      <c r="I386" s="22" t="n"/>
      <c r="J386" s="22" t="n"/>
      <c r="K386" s="19" t="n"/>
      <c r="L386" s="19" t="n"/>
      <c r="M386" s="19" t="n"/>
      <c r="N386" s="19" t="n"/>
      <c r="O386" s="23">
        <f>IF(J386="","",H386+I386)</f>
        <v/>
      </c>
      <c r="P386" s="23">
        <f>IF(J386="","",J386-O386)</f>
        <v/>
      </c>
      <c r="Q386" s="24">
        <f>IF(OR(J386="",J386=0),"",P386/J386)</f>
        <v/>
      </c>
      <c r="R386" s="25">
        <f>IF(OR(A386="",B386=""),"",B386-A386)</f>
        <v/>
      </c>
      <c r="S386" s="26">
        <f>IF(B386="","",YEAR(B386))</f>
        <v/>
      </c>
      <c r="T386" s="27">
        <f>IF(B386="","",IF(OR(F386="Electric",F386="Plug-in",F386="Hibrid"),1,0))</f>
        <v/>
      </c>
    </row>
    <row r="387">
      <c r="A387" s="18" t="n"/>
      <c r="B387" s="18" t="n"/>
      <c r="C387" s="19" t="n"/>
      <c r="D387" s="19" t="n"/>
      <c r="E387" s="20" t="n"/>
      <c r="F387" s="19" t="n"/>
      <c r="G387" s="21" t="n"/>
      <c r="H387" s="22" t="n"/>
      <c r="I387" s="22" t="n"/>
      <c r="J387" s="22" t="n"/>
      <c r="K387" s="19" t="n"/>
      <c r="L387" s="19" t="n"/>
      <c r="M387" s="19" t="n"/>
      <c r="N387" s="19" t="n"/>
      <c r="O387" s="23">
        <f>IF(J387="","",H387+I387)</f>
        <v/>
      </c>
      <c r="P387" s="23">
        <f>IF(J387="","",J387-O387)</f>
        <v/>
      </c>
      <c r="Q387" s="24">
        <f>IF(OR(J387="",J387=0),"",P387/J387)</f>
        <v/>
      </c>
      <c r="R387" s="25">
        <f>IF(OR(A387="",B387=""),"",B387-A387)</f>
        <v/>
      </c>
      <c r="S387" s="26">
        <f>IF(B387="","",YEAR(B387))</f>
        <v/>
      </c>
      <c r="T387" s="27">
        <f>IF(B387="","",IF(OR(F387="Electric",F387="Plug-in",F387="Hibrid"),1,0))</f>
        <v/>
      </c>
    </row>
    <row r="388">
      <c r="A388" s="18" t="n"/>
      <c r="B388" s="18" t="n"/>
      <c r="C388" s="19" t="n"/>
      <c r="D388" s="19" t="n"/>
      <c r="E388" s="20" t="n"/>
      <c r="F388" s="19" t="n"/>
      <c r="G388" s="21" t="n"/>
      <c r="H388" s="22" t="n"/>
      <c r="I388" s="22" t="n"/>
      <c r="J388" s="22" t="n"/>
      <c r="K388" s="19" t="n"/>
      <c r="L388" s="19" t="n"/>
      <c r="M388" s="19" t="n"/>
      <c r="N388" s="19" t="n"/>
      <c r="O388" s="23">
        <f>IF(J388="","",H388+I388)</f>
        <v/>
      </c>
      <c r="P388" s="23">
        <f>IF(J388="","",J388-O388)</f>
        <v/>
      </c>
      <c r="Q388" s="24">
        <f>IF(OR(J388="",J388=0),"",P388/J388)</f>
        <v/>
      </c>
      <c r="R388" s="25">
        <f>IF(OR(A388="",B388=""),"",B388-A388)</f>
        <v/>
      </c>
      <c r="S388" s="26">
        <f>IF(B388="","",YEAR(B388))</f>
        <v/>
      </c>
      <c r="T388" s="27">
        <f>IF(B388="","",IF(OR(F388="Electric",F388="Plug-in",F388="Hibrid"),1,0))</f>
        <v/>
      </c>
    </row>
    <row r="389">
      <c r="A389" s="18" t="n"/>
      <c r="B389" s="18" t="n"/>
      <c r="C389" s="19" t="n"/>
      <c r="D389" s="19" t="n"/>
      <c r="E389" s="20" t="n"/>
      <c r="F389" s="19" t="n"/>
      <c r="G389" s="21" t="n"/>
      <c r="H389" s="22" t="n"/>
      <c r="I389" s="22" t="n"/>
      <c r="J389" s="22" t="n"/>
      <c r="K389" s="19" t="n"/>
      <c r="L389" s="19" t="n"/>
      <c r="M389" s="19" t="n"/>
      <c r="N389" s="19" t="n"/>
      <c r="O389" s="23">
        <f>IF(J389="","",H389+I389)</f>
        <v/>
      </c>
      <c r="P389" s="23">
        <f>IF(J389="","",J389-O389)</f>
        <v/>
      </c>
      <c r="Q389" s="24">
        <f>IF(OR(J389="",J389=0),"",P389/J389)</f>
        <v/>
      </c>
      <c r="R389" s="25">
        <f>IF(OR(A389="",B389=""),"",B389-A389)</f>
        <v/>
      </c>
      <c r="S389" s="26">
        <f>IF(B389="","",YEAR(B389))</f>
        <v/>
      </c>
      <c r="T389" s="27">
        <f>IF(B389="","",IF(OR(F389="Electric",F389="Plug-in",F389="Hibrid"),1,0))</f>
        <v/>
      </c>
    </row>
    <row r="390">
      <c r="A390" s="18" t="n"/>
      <c r="B390" s="18" t="n"/>
      <c r="C390" s="19" t="n"/>
      <c r="D390" s="19" t="n"/>
      <c r="E390" s="20" t="n"/>
      <c r="F390" s="19" t="n"/>
      <c r="G390" s="21" t="n"/>
      <c r="H390" s="22" t="n"/>
      <c r="I390" s="22" t="n"/>
      <c r="J390" s="22" t="n"/>
      <c r="K390" s="19" t="n"/>
      <c r="L390" s="19" t="n"/>
      <c r="M390" s="19" t="n"/>
      <c r="N390" s="19" t="n"/>
      <c r="O390" s="23">
        <f>IF(J390="","",H390+I390)</f>
        <v/>
      </c>
      <c r="P390" s="23">
        <f>IF(J390="","",J390-O390)</f>
        <v/>
      </c>
      <c r="Q390" s="24">
        <f>IF(OR(J390="",J390=0),"",P390/J390)</f>
        <v/>
      </c>
      <c r="R390" s="25">
        <f>IF(OR(A390="",B390=""),"",B390-A390)</f>
        <v/>
      </c>
      <c r="S390" s="26">
        <f>IF(B390="","",YEAR(B390))</f>
        <v/>
      </c>
      <c r="T390" s="27">
        <f>IF(B390="","",IF(OR(F390="Electric",F390="Plug-in",F390="Hibrid"),1,0))</f>
        <v/>
      </c>
    </row>
    <row r="391">
      <c r="A391" s="18" t="n"/>
      <c r="B391" s="18" t="n"/>
      <c r="C391" s="19" t="n"/>
      <c r="D391" s="19" t="n"/>
      <c r="E391" s="20" t="n"/>
      <c r="F391" s="19" t="n"/>
      <c r="G391" s="21" t="n"/>
      <c r="H391" s="22" t="n"/>
      <c r="I391" s="22" t="n"/>
      <c r="J391" s="22" t="n"/>
      <c r="K391" s="19" t="n"/>
      <c r="L391" s="19" t="n"/>
      <c r="M391" s="19" t="n"/>
      <c r="N391" s="19" t="n"/>
      <c r="O391" s="23">
        <f>IF(J391="","",H391+I391)</f>
        <v/>
      </c>
      <c r="P391" s="23">
        <f>IF(J391="","",J391-O391)</f>
        <v/>
      </c>
      <c r="Q391" s="24">
        <f>IF(OR(J391="",J391=0),"",P391/J391)</f>
        <v/>
      </c>
      <c r="R391" s="25">
        <f>IF(OR(A391="",B391=""),"",B391-A391)</f>
        <v/>
      </c>
      <c r="S391" s="26">
        <f>IF(B391="","",YEAR(B391))</f>
        <v/>
      </c>
      <c r="T391" s="27">
        <f>IF(B391="","",IF(OR(F391="Electric",F391="Plug-in",F391="Hibrid"),1,0))</f>
        <v/>
      </c>
    </row>
    <row r="392">
      <c r="A392" s="18" t="n"/>
      <c r="B392" s="18" t="n"/>
      <c r="C392" s="19" t="n"/>
      <c r="D392" s="19" t="n"/>
      <c r="E392" s="20" t="n"/>
      <c r="F392" s="19" t="n"/>
      <c r="G392" s="21" t="n"/>
      <c r="H392" s="22" t="n"/>
      <c r="I392" s="22" t="n"/>
      <c r="J392" s="22" t="n"/>
      <c r="K392" s="19" t="n"/>
      <c r="L392" s="19" t="n"/>
      <c r="M392" s="19" t="n"/>
      <c r="N392" s="19" t="n"/>
      <c r="O392" s="23">
        <f>IF(J392="","",H392+I392)</f>
        <v/>
      </c>
      <c r="P392" s="23">
        <f>IF(J392="","",J392-O392)</f>
        <v/>
      </c>
      <c r="Q392" s="24">
        <f>IF(OR(J392="",J392=0),"",P392/J392)</f>
        <v/>
      </c>
      <c r="R392" s="25">
        <f>IF(OR(A392="",B392=""),"",B392-A392)</f>
        <v/>
      </c>
      <c r="S392" s="26">
        <f>IF(B392="","",YEAR(B392))</f>
        <v/>
      </c>
      <c r="T392" s="27">
        <f>IF(B392="","",IF(OR(F392="Electric",F392="Plug-in",F392="Hibrid"),1,0))</f>
        <v/>
      </c>
    </row>
    <row r="393">
      <c r="A393" s="18" t="n"/>
      <c r="B393" s="18" t="n"/>
      <c r="C393" s="19" t="n"/>
      <c r="D393" s="19" t="n"/>
      <c r="E393" s="20" t="n"/>
      <c r="F393" s="19" t="n"/>
      <c r="G393" s="21" t="n"/>
      <c r="H393" s="22" t="n"/>
      <c r="I393" s="22" t="n"/>
      <c r="J393" s="22" t="n"/>
      <c r="K393" s="19" t="n"/>
      <c r="L393" s="19" t="n"/>
      <c r="M393" s="19" t="n"/>
      <c r="N393" s="19" t="n"/>
      <c r="O393" s="23">
        <f>IF(J393="","",H393+I393)</f>
        <v/>
      </c>
      <c r="P393" s="23">
        <f>IF(J393="","",J393-O393)</f>
        <v/>
      </c>
      <c r="Q393" s="24">
        <f>IF(OR(J393="",J393=0),"",P393/J393)</f>
        <v/>
      </c>
      <c r="R393" s="25">
        <f>IF(OR(A393="",B393=""),"",B393-A393)</f>
        <v/>
      </c>
      <c r="S393" s="26">
        <f>IF(B393="","",YEAR(B393))</f>
        <v/>
      </c>
      <c r="T393" s="27">
        <f>IF(B393="","",IF(OR(F393="Electric",F393="Plug-in",F393="Hibrid"),1,0))</f>
        <v/>
      </c>
    </row>
    <row r="394">
      <c r="A394" s="18" t="n"/>
      <c r="B394" s="18" t="n"/>
      <c r="C394" s="19" t="n"/>
      <c r="D394" s="19" t="n"/>
      <c r="E394" s="20" t="n"/>
      <c r="F394" s="19" t="n"/>
      <c r="G394" s="21" t="n"/>
      <c r="H394" s="22" t="n"/>
      <c r="I394" s="22" t="n"/>
      <c r="J394" s="22" t="n"/>
      <c r="K394" s="19" t="n"/>
      <c r="L394" s="19" t="n"/>
      <c r="M394" s="19" t="n"/>
      <c r="N394" s="19" t="n"/>
      <c r="O394" s="23">
        <f>IF(J394="","",H394+I394)</f>
        <v/>
      </c>
      <c r="P394" s="23">
        <f>IF(J394="","",J394-O394)</f>
        <v/>
      </c>
      <c r="Q394" s="24">
        <f>IF(OR(J394="",J394=0),"",P394/J394)</f>
        <v/>
      </c>
      <c r="R394" s="25">
        <f>IF(OR(A394="",B394=""),"",B394-A394)</f>
        <v/>
      </c>
      <c r="S394" s="26">
        <f>IF(B394="","",YEAR(B394))</f>
        <v/>
      </c>
      <c r="T394" s="27">
        <f>IF(B394="","",IF(OR(F394="Electric",F394="Plug-in",F394="Hibrid"),1,0))</f>
        <v/>
      </c>
    </row>
    <row r="395">
      <c r="A395" s="18" t="n"/>
      <c r="B395" s="18" t="n"/>
      <c r="C395" s="19" t="n"/>
      <c r="D395" s="19" t="n"/>
      <c r="E395" s="20" t="n"/>
      <c r="F395" s="19" t="n"/>
      <c r="G395" s="21" t="n"/>
      <c r="H395" s="22" t="n"/>
      <c r="I395" s="22" t="n"/>
      <c r="J395" s="22" t="n"/>
      <c r="K395" s="19" t="n"/>
      <c r="L395" s="19" t="n"/>
      <c r="M395" s="19" t="n"/>
      <c r="N395" s="19" t="n"/>
      <c r="O395" s="23">
        <f>IF(J395="","",H395+I395)</f>
        <v/>
      </c>
      <c r="P395" s="23">
        <f>IF(J395="","",J395-O395)</f>
        <v/>
      </c>
      <c r="Q395" s="24">
        <f>IF(OR(J395="",J395=0),"",P395/J395)</f>
        <v/>
      </c>
      <c r="R395" s="25">
        <f>IF(OR(A395="",B395=""),"",B395-A395)</f>
        <v/>
      </c>
      <c r="S395" s="26">
        <f>IF(B395="","",YEAR(B395))</f>
        <v/>
      </c>
      <c r="T395" s="27">
        <f>IF(B395="","",IF(OR(F395="Electric",F395="Plug-in",F395="Hibrid"),1,0))</f>
        <v/>
      </c>
    </row>
    <row r="396">
      <c r="A396" s="18" t="n"/>
      <c r="B396" s="18" t="n"/>
      <c r="C396" s="19" t="n"/>
      <c r="D396" s="19" t="n"/>
      <c r="E396" s="20" t="n"/>
      <c r="F396" s="19" t="n"/>
      <c r="G396" s="21" t="n"/>
      <c r="H396" s="22" t="n"/>
      <c r="I396" s="22" t="n"/>
      <c r="J396" s="22" t="n"/>
      <c r="K396" s="19" t="n"/>
      <c r="L396" s="19" t="n"/>
      <c r="M396" s="19" t="n"/>
      <c r="N396" s="19" t="n"/>
      <c r="O396" s="23">
        <f>IF(J396="","",H396+I396)</f>
        <v/>
      </c>
      <c r="P396" s="23">
        <f>IF(J396="","",J396-O396)</f>
        <v/>
      </c>
      <c r="Q396" s="24">
        <f>IF(OR(J396="",J396=0),"",P396/J396)</f>
        <v/>
      </c>
      <c r="R396" s="25">
        <f>IF(OR(A396="",B396=""),"",B396-A396)</f>
        <v/>
      </c>
      <c r="S396" s="26">
        <f>IF(B396="","",YEAR(B396))</f>
        <v/>
      </c>
      <c r="T396" s="27">
        <f>IF(B396="","",IF(OR(F396="Electric",F396="Plug-in",F396="Hibrid"),1,0))</f>
        <v/>
      </c>
    </row>
    <row r="397">
      <c r="A397" s="18" t="n"/>
      <c r="B397" s="18" t="n"/>
      <c r="C397" s="19" t="n"/>
      <c r="D397" s="19" t="n"/>
      <c r="E397" s="20" t="n"/>
      <c r="F397" s="19" t="n"/>
      <c r="G397" s="21" t="n"/>
      <c r="H397" s="22" t="n"/>
      <c r="I397" s="22" t="n"/>
      <c r="J397" s="22" t="n"/>
      <c r="K397" s="19" t="n"/>
      <c r="L397" s="19" t="n"/>
      <c r="M397" s="19" t="n"/>
      <c r="N397" s="19" t="n"/>
      <c r="O397" s="23">
        <f>IF(J397="","",H397+I397)</f>
        <v/>
      </c>
      <c r="P397" s="23">
        <f>IF(J397="","",J397-O397)</f>
        <v/>
      </c>
      <c r="Q397" s="24">
        <f>IF(OR(J397="",J397=0),"",P397/J397)</f>
        <v/>
      </c>
      <c r="R397" s="25">
        <f>IF(OR(A397="",B397=""),"",B397-A397)</f>
        <v/>
      </c>
      <c r="S397" s="26">
        <f>IF(B397="","",YEAR(B397))</f>
        <v/>
      </c>
      <c r="T397" s="27">
        <f>IF(B397="","",IF(OR(F397="Electric",F397="Plug-in",F397="Hibrid"),1,0))</f>
        <v/>
      </c>
    </row>
    <row r="398">
      <c r="A398" s="18" t="n"/>
      <c r="B398" s="18" t="n"/>
      <c r="C398" s="19" t="n"/>
      <c r="D398" s="19" t="n"/>
      <c r="E398" s="20" t="n"/>
      <c r="F398" s="19" t="n"/>
      <c r="G398" s="21" t="n"/>
      <c r="H398" s="22" t="n"/>
      <c r="I398" s="22" t="n"/>
      <c r="J398" s="22" t="n"/>
      <c r="K398" s="19" t="n"/>
      <c r="L398" s="19" t="n"/>
      <c r="M398" s="19" t="n"/>
      <c r="N398" s="19" t="n"/>
      <c r="O398" s="23">
        <f>IF(J398="","",H398+I398)</f>
        <v/>
      </c>
      <c r="P398" s="23">
        <f>IF(J398="","",J398-O398)</f>
        <v/>
      </c>
      <c r="Q398" s="24">
        <f>IF(OR(J398="",J398=0),"",P398/J398)</f>
        <v/>
      </c>
      <c r="R398" s="25">
        <f>IF(OR(A398="",B398=""),"",B398-A398)</f>
        <v/>
      </c>
      <c r="S398" s="26">
        <f>IF(B398="","",YEAR(B398))</f>
        <v/>
      </c>
      <c r="T398" s="27">
        <f>IF(B398="","",IF(OR(F398="Electric",F398="Plug-in",F398="Hibrid"),1,0))</f>
        <v/>
      </c>
    </row>
    <row r="399">
      <c r="A399" s="18" t="n"/>
      <c r="B399" s="18" t="n"/>
      <c r="C399" s="19" t="n"/>
      <c r="D399" s="19" t="n"/>
      <c r="E399" s="20" t="n"/>
      <c r="F399" s="19" t="n"/>
      <c r="G399" s="21" t="n"/>
      <c r="H399" s="22" t="n"/>
      <c r="I399" s="22" t="n"/>
      <c r="J399" s="22" t="n"/>
      <c r="K399" s="19" t="n"/>
      <c r="L399" s="19" t="n"/>
      <c r="M399" s="19" t="n"/>
      <c r="N399" s="19" t="n"/>
      <c r="O399" s="23">
        <f>IF(J399="","",H399+I399)</f>
        <v/>
      </c>
      <c r="P399" s="23">
        <f>IF(J399="","",J399-O399)</f>
        <v/>
      </c>
      <c r="Q399" s="24">
        <f>IF(OR(J399="",J399=0),"",P399/J399)</f>
        <v/>
      </c>
      <c r="R399" s="25">
        <f>IF(OR(A399="",B399=""),"",B399-A399)</f>
        <v/>
      </c>
      <c r="S399" s="26">
        <f>IF(B399="","",YEAR(B399))</f>
        <v/>
      </c>
      <c r="T399" s="27">
        <f>IF(B399="","",IF(OR(F399="Electric",F399="Plug-in",F399="Hibrid"),1,0))</f>
        <v/>
      </c>
    </row>
    <row r="400">
      <c r="A400" s="18" t="n"/>
      <c r="B400" s="18" t="n"/>
      <c r="C400" s="19" t="n"/>
      <c r="D400" s="19" t="n"/>
      <c r="E400" s="20" t="n"/>
      <c r="F400" s="19" t="n"/>
      <c r="G400" s="21" t="n"/>
      <c r="H400" s="22" t="n"/>
      <c r="I400" s="22" t="n"/>
      <c r="J400" s="22" t="n"/>
      <c r="K400" s="19" t="n"/>
      <c r="L400" s="19" t="n"/>
      <c r="M400" s="19" t="n"/>
      <c r="N400" s="19" t="n"/>
      <c r="O400" s="23">
        <f>IF(J400="","",H400+I400)</f>
        <v/>
      </c>
      <c r="P400" s="23">
        <f>IF(J400="","",J400-O400)</f>
        <v/>
      </c>
      <c r="Q400" s="24">
        <f>IF(OR(J400="",J400=0),"",P400/J400)</f>
        <v/>
      </c>
      <c r="R400" s="25">
        <f>IF(OR(A400="",B400=""),"",B400-A400)</f>
        <v/>
      </c>
      <c r="S400" s="26">
        <f>IF(B400="","",YEAR(B400))</f>
        <v/>
      </c>
      <c r="T400" s="27">
        <f>IF(B400="","",IF(OR(F400="Electric",F400="Plug-in",F400="Hibrid"),1,0))</f>
        <v/>
      </c>
    </row>
    <row r="401">
      <c r="A401" s="18" t="n"/>
      <c r="B401" s="18" t="n"/>
      <c r="C401" s="19" t="n"/>
      <c r="D401" s="19" t="n"/>
      <c r="E401" s="20" t="n"/>
      <c r="F401" s="19" t="n"/>
      <c r="G401" s="21" t="n"/>
      <c r="H401" s="22" t="n"/>
      <c r="I401" s="22" t="n"/>
      <c r="J401" s="22" t="n"/>
      <c r="K401" s="19" t="n"/>
      <c r="L401" s="19" t="n"/>
      <c r="M401" s="19" t="n"/>
      <c r="N401" s="19" t="n"/>
      <c r="O401" s="23">
        <f>IF(J401="","",H401+I401)</f>
        <v/>
      </c>
      <c r="P401" s="23">
        <f>IF(J401="","",J401-O401)</f>
        <v/>
      </c>
      <c r="Q401" s="24">
        <f>IF(OR(J401="",J401=0),"",P401/J401)</f>
        <v/>
      </c>
      <c r="R401" s="25">
        <f>IF(OR(A401="",B401=""),"",B401-A401)</f>
        <v/>
      </c>
      <c r="S401" s="26">
        <f>IF(B401="","",YEAR(B401))</f>
        <v/>
      </c>
      <c r="T401" s="27">
        <f>IF(B401="","",IF(OR(F401="Electric",F401="Plug-in",F401="Hibrid"),1,0))</f>
        <v/>
      </c>
    </row>
    <row r="402">
      <c r="A402" s="18" t="n"/>
      <c r="B402" s="18" t="n"/>
      <c r="C402" s="19" t="n"/>
      <c r="D402" s="19" t="n"/>
      <c r="E402" s="20" t="n"/>
      <c r="F402" s="19" t="n"/>
      <c r="G402" s="21" t="n"/>
      <c r="H402" s="22" t="n"/>
      <c r="I402" s="22" t="n"/>
      <c r="J402" s="22" t="n"/>
      <c r="K402" s="19" t="n"/>
      <c r="L402" s="19" t="n"/>
      <c r="M402" s="19" t="n"/>
      <c r="N402" s="19" t="n"/>
      <c r="O402" s="23">
        <f>IF(J402="","",H402+I402)</f>
        <v/>
      </c>
      <c r="P402" s="23">
        <f>IF(J402="","",J402-O402)</f>
        <v/>
      </c>
      <c r="Q402" s="24">
        <f>IF(OR(J402="",J402=0),"",P402/J402)</f>
        <v/>
      </c>
      <c r="R402" s="25">
        <f>IF(OR(A402="",B402=""),"",B402-A402)</f>
        <v/>
      </c>
      <c r="S402" s="26">
        <f>IF(B402="","",YEAR(B402))</f>
        <v/>
      </c>
      <c r="T402" s="27">
        <f>IF(B402="","",IF(OR(F402="Electric",F402="Plug-in",F402="Hibrid"),1,0))</f>
        <v/>
      </c>
    </row>
    <row r="403">
      <c r="A403" s="18" t="n"/>
      <c r="B403" s="18" t="n"/>
      <c r="C403" s="19" t="n"/>
      <c r="D403" s="19" t="n"/>
      <c r="E403" s="20" t="n"/>
      <c r="F403" s="19" t="n"/>
      <c r="G403" s="21" t="n"/>
      <c r="H403" s="22" t="n"/>
      <c r="I403" s="22" t="n"/>
      <c r="J403" s="22" t="n"/>
      <c r="K403" s="19" t="n"/>
      <c r="L403" s="19" t="n"/>
      <c r="M403" s="19" t="n"/>
      <c r="N403" s="19" t="n"/>
      <c r="O403" s="23">
        <f>IF(J403="","",H403+I403)</f>
        <v/>
      </c>
      <c r="P403" s="23">
        <f>IF(J403="","",J403-O403)</f>
        <v/>
      </c>
      <c r="Q403" s="24">
        <f>IF(OR(J403="",J403=0),"",P403/J403)</f>
        <v/>
      </c>
      <c r="R403" s="25">
        <f>IF(OR(A403="",B403=""),"",B403-A403)</f>
        <v/>
      </c>
      <c r="S403" s="26">
        <f>IF(B403="","",YEAR(B403))</f>
        <v/>
      </c>
      <c r="T403" s="27">
        <f>IF(B403="","",IF(OR(F403="Electric",F403="Plug-in",F403="Hibrid"),1,0))</f>
        <v/>
      </c>
    </row>
    <row r="404">
      <c r="A404" s="18" t="n"/>
      <c r="B404" s="18" t="n"/>
      <c r="C404" s="19" t="n"/>
      <c r="D404" s="19" t="n"/>
      <c r="E404" s="20" t="n"/>
      <c r="F404" s="19" t="n"/>
      <c r="G404" s="21" t="n"/>
      <c r="H404" s="22" t="n"/>
      <c r="I404" s="22" t="n"/>
      <c r="J404" s="22" t="n"/>
      <c r="K404" s="19" t="n"/>
      <c r="L404" s="19" t="n"/>
      <c r="M404" s="19" t="n"/>
      <c r="N404" s="19" t="n"/>
      <c r="O404" s="23">
        <f>IF(J404="","",H404+I404)</f>
        <v/>
      </c>
      <c r="P404" s="23">
        <f>IF(J404="","",J404-O404)</f>
        <v/>
      </c>
      <c r="Q404" s="24">
        <f>IF(OR(J404="",J404=0),"",P404/J404)</f>
        <v/>
      </c>
      <c r="R404" s="25">
        <f>IF(OR(A404="",B404=""),"",B404-A404)</f>
        <v/>
      </c>
      <c r="S404" s="26">
        <f>IF(B404="","",YEAR(B404))</f>
        <v/>
      </c>
      <c r="T404" s="27">
        <f>IF(B404="","",IF(OR(F404="Electric",F404="Plug-in",F404="Hibrid"),1,0))</f>
        <v/>
      </c>
    </row>
    <row r="405">
      <c r="A405" s="18" t="n"/>
      <c r="B405" s="18" t="n"/>
      <c r="C405" s="19" t="n"/>
      <c r="D405" s="19" t="n"/>
      <c r="E405" s="20" t="n"/>
      <c r="F405" s="19" t="n"/>
      <c r="G405" s="21" t="n"/>
      <c r="H405" s="22" t="n"/>
      <c r="I405" s="22" t="n"/>
      <c r="J405" s="22" t="n"/>
      <c r="K405" s="19" t="n"/>
      <c r="L405" s="19" t="n"/>
      <c r="M405" s="19" t="n"/>
      <c r="N405" s="19" t="n"/>
      <c r="O405" s="23">
        <f>IF(J405="","",H405+I405)</f>
        <v/>
      </c>
      <c r="P405" s="23">
        <f>IF(J405="","",J405-O405)</f>
        <v/>
      </c>
      <c r="Q405" s="24">
        <f>IF(OR(J405="",J405=0),"",P405/J405)</f>
        <v/>
      </c>
      <c r="R405" s="25">
        <f>IF(OR(A405="",B405=""),"",B405-A405)</f>
        <v/>
      </c>
      <c r="S405" s="26">
        <f>IF(B405="","",YEAR(B405))</f>
        <v/>
      </c>
      <c r="T405" s="27">
        <f>IF(B405="","",IF(OR(F405="Electric",F405="Plug-in",F405="Hibrid"),1,0))</f>
        <v/>
      </c>
    </row>
    <row r="406">
      <c r="A406" s="18" t="n"/>
      <c r="B406" s="18" t="n"/>
      <c r="C406" s="19" t="n"/>
      <c r="D406" s="19" t="n"/>
      <c r="E406" s="20" t="n"/>
      <c r="F406" s="19" t="n"/>
      <c r="G406" s="21" t="n"/>
      <c r="H406" s="22" t="n"/>
      <c r="I406" s="22" t="n"/>
      <c r="J406" s="22" t="n"/>
      <c r="K406" s="19" t="n"/>
      <c r="L406" s="19" t="n"/>
      <c r="M406" s="19" t="n"/>
      <c r="N406" s="19" t="n"/>
      <c r="O406" s="23">
        <f>IF(J406="","",H406+I406)</f>
        <v/>
      </c>
      <c r="P406" s="23">
        <f>IF(J406="","",J406-O406)</f>
        <v/>
      </c>
      <c r="Q406" s="24">
        <f>IF(OR(J406="",J406=0),"",P406/J406)</f>
        <v/>
      </c>
      <c r="R406" s="25">
        <f>IF(OR(A406="",B406=""),"",B406-A406)</f>
        <v/>
      </c>
      <c r="S406" s="26">
        <f>IF(B406="","",YEAR(B406))</f>
        <v/>
      </c>
      <c r="T406" s="27">
        <f>IF(B406="","",IF(OR(F406="Electric",F406="Plug-in",F406="Hibrid"),1,0))</f>
        <v/>
      </c>
    </row>
    <row r="407">
      <c r="A407" s="18" t="n"/>
      <c r="B407" s="18" t="n"/>
      <c r="C407" s="19" t="n"/>
      <c r="D407" s="19" t="n"/>
      <c r="E407" s="20" t="n"/>
      <c r="F407" s="19" t="n"/>
      <c r="G407" s="21" t="n"/>
      <c r="H407" s="22" t="n"/>
      <c r="I407" s="22" t="n"/>
      <c r="J407" s="22" t="n"/>
      <c r="K407" s="19" t="n"/>
      <c r="L407" s="19" t="n"/>
      <c r="M407" s="19" t="n"/>
      <c r="N407" s="19" t="n"/>
      <c r="O407" s="23">
        <f>IF(J407="","",H407+I407)</f>
        <v/>
      </c>
      <c r="P407" s="23">
        <f>IF(J407="","",J407-O407)</f>
        <v/>
      </c>
      <c r="Q407" s="24">
        <f>IF(OR(J407="",J407=0),"",P407/J407)</f>
        <v/>
      </c>
      <c r="R407" s="25">
        <f>IF(OR(A407="",B407=""),"",B407-A407)</f>
        <v/>
      </c>
      <c r="S407" s="26">
        <f>IF(B407="","",YEAR(B407))</f>
        <v/>
      </c>
      <c r="T407" s="27">
        <f>IF(B407="","",IF(OR(F407="Electric",F407="Plug-in",F407="Hibrid"),1,0))</f>
        <v/>
      </c>
    </row>
    <row r="408">
      <c r="A408" s="18" t="n"/>
      <c r="B408" s="18" t="n"/>
      <c r="C408" s="19" t="n"/>
      <c r="D408" s="19" t="n"/>
      <c r="E408" s="20" t="n"/>
      <c r="F408" s="19" t="n"/>
      <c r="G408" s="21" t="n"/>
      <c r="H408" s="22" t="n"/>
      <c r="I408" s="22" t="n"/>
      <c r="J408" s="22" t="n"/>
      <c r="K408" s="19" t="n"/>
      <c r="L408" s="19" t="n"/>
      <c r="M408" s="19" t="n"/>
      <c r="N408" s="19" t="n"/>
      <c r="O408" s="23">
        <f>IF(J408="","",H408+I408)</f>
        <v/>
      </c>
      <c r="P408" s="23">
        <f>IF(J408="","",J408-O408)</f>
        <v/>
      </c>
      <c r="Q408" s="24">
        <f>IF(OR(J408="",J408=0),"",P408/J408)</f>
        <v/>
      </c>
      <c r="R408" s="25">
        <f>IF(OR(A408="",B408=""),"",B408-A408)</f>
        <v/>
      </c>
      <c r="S408" s="26">
        <f>IF(B408="","",YEAR(B408))</f>
        <v/>
      </c>
      <c r="T408" s="27">
        <f>IF(B408="","",IF(OR(F408="Electric",F408="Plug-in",F408="Hibrid"),1,0))</f>
        <v/>
      </c>
    </row>
    <row r="409">
      <c r="A409" s="18" t="n"/>
      <c r="B409" s="18" t="n"/>
      <c r="C409" s="19" t="n"/>
      <c r="D409" s="19" t="n"/>
      <c r="E409" s="20" t="n"/>
      <c r="F409" s="19" t="n"/>
      <c r="G409" s="21" t="n"/>
      <c r="H409" s="22" t="n"/>
      <c r="I409" s="22" t="n"/>
      <c r="J409" s="22" t="n"/>
      <c r="K409" s="19" t="n"/>
      <c r="L409" s="19" t="n"/>
      <c r="M409" s="19" t="n"/>
      <c r="N409" s="19" t="n"/>
      <c r="O409" s="23">
        <f>IF(J409="","",H409+I409)</f>
        <v/>
      </c>
      <c r="P409" s="23">
        <f>IF(J409="","",J409-O409)</f>
        <v/>
      </c>
      <c r="Q409" s="24">
        <f>IF(OR(J409="",J409=0),"",P409/J409)</f>
        <v/>
      </c>
      <c r="R409" s="25">
        <f>IF(OR(A409="",B409=""),"",B409-A409)</f>
        <v/>
      </c>
      <c r="S409" s="26">
        <f>IF(B409="","",YEAR(B409))</f>
        <v/>
      </c>
      <c r="T409" s="27">
        <f>IF(B409="","",IF(OR(F409="Electric",F409="Plug-in",F409="Hibrid"),1,0))</f>
        <v/>
      </c>
    </row>
    <row r="410">
      <c r="A410" s="18" t="n"/>
      <c r="B410" s="18" t="n"/>
      <c r="C410" s="19" t="n"/>
      <c r="D410" s="19" t="n"/>
      <c r="E410" s="20" t="n"/>
      <c r="F410" s="19" t="n"/>
      <c r="G410" s="21" t="n"/>
      <c r="H410" s="22" t="n"/>
      <c r="I410" s="22" t="n"/>
      <c r="J410" s="22" t="n"/>
      <c r="K410" s="19" t="n"/>
      <c r="L410" s="19" t="n"/>
      <c r="M410" s="19" t="n"/>
      <c r="N410" s="19" t="n"/>
      <c r="O410" s="23">
        <f>IF(J410="","",H410+I410)</f>
        <v/>
      </c>
      <c r="P410" s="23">
        <f>IF(J410="","",J410-O410)</f>
        <v/>
      </c>
      <c r="Q410" s="24">
        <f>IF(OR(J410="",J410=0),"",P410/J410)</f>
        <v/>
      </c>
      <c r="R410" s="25">
        <f>IF(OR(A410="",B410=""),"",B410-A410)</f>
        <v/>
      </c>
      <c r="S410" s="26">
        <f>IF(B410="","",YEAR(B410))</f>
        <v/>
      </c>
      <c r="T410" s="27">
        <f>IF(B410="","",IF(OR(F410="Electric",F410="Plug-in",F410="Hibrid"),1,0))</f>
        <v/>
      </c>
    </row>
    <row r="411">
      <c r="A411" s="18" t="n"/>
      <c r="B411" s="18" t="n"/>
      <c r="C411" s="19" t="n"/>
      <c r="D411" s="19" t="n"/>
      <c r="E411" s="20" t="n"/>
      <c r="F411" s="19" t="n"/>
      <c r="G411" s="21" t="n"/>
      <c r="H411" s="22" t="n"/>
      <c r="I411" s="22" t="n"/>
      <c r="J411" s="22" t="n"/>
      <c r="K411" s="19" t="n"/>
      <c r="L411" s="19" t="n"/>
      <c r="M411" s="19" t="n"/>
      <c r="N411" s="19" t="n"/>
      <c r="O411" s="23">
        <f>IF(J411="","",H411+I411)</f>
        <v/>
      </c>
      <c r="P411" s="23">
        <f>IF(J411="","",J411-O411)</f>
        <v/>
      </c>
      <c r="Q411" s="24">
        <f>IF(OR(J411="",J411=0),"",P411/J411)</f>
        <v/>
      </c>
      <c r="R411" s="25">
        <f>IF(OR(A411="",B411=""),"",B411-A411)</f>
        <v/>
      </c>
      <c r="S411" s="26">
        <f>IF(B411="","",YEAR(B411))</f>
        <v/>
      </c>
      <c r="T411" s="27">
        <f>IF(B411="","",IF(OR(F411="Electric",F411="Plug-in",F411="Hibrid"),1,0))</f>
        <v/>
      </c>
    </row>
    <row r="412">
      <c r="A412" s="18" t="n"/>
      <c r="B412" s="18" t="n"/>
      <c r="C412" s="19" t="n"/>
      <c r="D412" s="19" t="n"/>
      <c r="E412" s="20" t="n"/>
      <c r="F412" s="19" t="n"/>
      <c r="G412" s="21" t="n"/>
      <c r="H412" s="22" t="n"/>
      <c r="I412" s="22" t="n"/>
      <c r="J412" s="22" t="n"/>
      <c r="K412" s="19" t="n"/>
      <c r="L412" s="19" t="n"/>
      <c r="M412" s="19" t="n"/>
      <c r="N412" s="19" t="n"/>
      <c r="O412" s="23">
        <f>IF(J412="","",H412+I412)</f>
        <v/>
      </c>
      <c r="P412" s="23">
        <f>IF(J412="","",J412-O412)</f>
        <v/>
      </c>
      <c r="Q412" s="24">
        <f>IF(OR(J412="",J412=0),"",P412/J412)</f>
        <v/>
      </c>
      <c r="R412" s="25">
        <f>IF(OR(A412="",B412=""),"",B412-A412)</f>
        <v/>
      </c>
      <c r="S412" s="26">
        <f>IF(B412="","",YEAR(B412))</f>
        <v/>
      </c>
      <c r="T412" s="27">
        <f>IF(B412="","",IF(OR(F412="Electric",F412="Plug-in",F412="Hibrid"),1,0))</f>
        <v/>
      </c>
    </row>
    <row r="413">
      <c r="A413" s="18" t="n"/>
      <c r="B413" s="18" t="n"/>
      <c r="C413" s="19" t="n"/>
      <c r="D413" s="19" t="n"/>
      <c r="E413" s="20" t="n"/>
      <c r="F413" s="19" t="n"/>
      <c r="G413" s="21" t="n"/>
      <c r="H413" s="22" t="n"/>
      <c r="I413" s="22" t="n"/>
      <c r="J413" s="22" t="n"/>
      <c r="K413" s="19" t="n"/>
      <c r="L413" s="19" t="n"/>
      <c r="M413" s="19" t="n"/>
      <c r="N413" s="19" t="n"/>
      <c r="O413" s="23">
        <f>IF(J413="","",H413+I413)</f>
        <v/>
      </c>
      <c r="P413" s="23">
        <f>IF(J413="","",J413-O413)</f>
        <v/>
      </c>
      <c r="Q413" s="24">
        <f>IF(OR(J413="",J413=0),"",P413/J413)</f>
        <v/>
      </c>
      <c r="R413" s="25">
        <f>IF(OR(A413="",B413=""),"",B413-A413)</f>
        <v/>
      </c>
      <c r="S413" s="26">
        <f>IF(B413="","",YEAR(B413))</f>
        <v/>
      </c>
      <c r="T413" s="27">
        <f>IF(B413="","",IF(OR(F413="Electric",F413="Plug-in",F413="Hibrid"),1,0))</f>
        <v/>
      </c>
    </row>
    <row r="414">
      <c r="A414" s="18" t="n"/>
      <c r="B414" s="18" t="n"/>
      <c r="C414" s="19" t="n"/>
      <c r="D414" s="19" t="n"/>
      <c r="E414" s="20" t="n"/>
      <c r="F414" s="19" t="n"/>
      <c r="G414" s="21" t="n"/>
      <c r="H414" s="22" t="n"/>
      <c r="I414" s="22" t="n"/>
      <c r="J414" s="22" t="n"/>
      <c r="K414" s="19" t="n"/>
      <c r="L414" s="19" t="n"/>
      <c r="M414" s="19" t="n"/>
      <c r="N414" s="19" t="n"/>
      <c r="O414" s="23">
        <f>IF(J414="","",H414+I414)</f>
        <v/>
      </c>
      <c r="P414" s="23">
        <f>IF(J414="","",J414-O414)</f>
        <v/>
      </c>
      <c r="Q414" s="24">
        <f>IF(OR(J414="",J414=0),"",P414/J414)</f>
        <v/>
      </c>
      <c r="R414" s="25">
        <f>IF(OR(A414="",B414=""),"",B414-A414)</f>
        <v/>
      </c>
      <c r="S414" s="26">
        <f>IF(B414="","",YEAR(B414))</f>
        <v/>
      </c>
      <c r="T414" s="27">
        <f>IF(B414="","",IF(OR(F414="Electric",F414="Plug-in",F414="Hibrid"),1,0))</f>
        <v/>
      </c>
    </row>
    <row r="415">
      <c r="A415" s="18" t="n"/>
      <c r="B415" s="18" t="n"/>
      <c r="C415" s="19" t="n"/>
      <c r="D415" s="19" t="n"/>
      <c r="E415" s="20" t="n"/>
      <c r="F415" s="19" t="n"/>
      <c r="G415" s="21" t="n"/>
      <c r="H415" s="22" t="n"/>
      <c r="I415" s="22" t="n"/>
      <c r="J415" s="22" t="n"/>
      <c r="K415" s="19" t="n"/>
      <c r="L415" s="19" t="n"/>
      <c r="M415" s="19" t="n"/>
      <c r="N415" s="19" t="n"/>
      <c r="O415" s="23">
        <f>IF(J415="","",H415+I415)</f>
        <v/>
      </c>
      <c r="P415" s="23">
        <f>IF(J415="","",J415-O415)</f>
        <v/>
      </c>
      <c r="Q415" s="24">
        <f>IF(OR(J415="",J415=0),"",P415/J415)</f>
        <v/>
      </c>
      <c r="R415" s="25">
        <f>IF(OR(A415="",B415=""),"",B415-A415)</f>
        <v/>
      </c>
      <c r="S415" s="26">
        <f>IF(B415="","",YEAR(B415))</f>
        <v/>
      </c>
      <c r="T415" s="27">
        <f>IF(B415="","",IF(OR(F415="Electric",F415="Plug-in",F415="Hibrid"),1,0))</f>
        <v/>
      </c>
    </row>
    <row r="416">
      <c r="A416" s="18" t="n"/>
      <c r="B416" s="18" t="n"/>
      <c r="C416" s="19" t="n"/>
      <c r="D416" s="19" t="n"/>
      <c r="E416" s="20" t="n"/>
      <c r="F416" s="19" t="n"/>
      <c r="G416" s="21" t="n"/>
      <c r="H416" s="22" t="n"/>
      <c r="I416" s="22" t="n"/>
      <c r="J416" s="22" t="n"/>
      <c r="K416" s="19" t="n"/>
      <c r="L416" s="19" t="n"/>
      <c r="M416" s="19" t="n"/>
      <c r="N416" s="19" t="n"/>
      <c r="O416" s="23">
        <f>IF(J416="","",H416+I416)</f>
        <v/>
      </c>
      <c r="P416" s="23">
        <f>IF(J416="","",J416-O416)</f>
        <v/>
      </c>
      <c r="Q416" s="24">
        <f>IF(OR(J416="",J416=0),"",P416/J416)</f>
        <v/>
      </c>
      <c r="R416" s="25">
        <f>IF(OR(A416="",B416=""),"",B416-A416)</f>
        <v/>
      </c>
      <c r="S416" s="26">
        <f>IF(B416="","",YEAR(B416))</f>
        <v/>
      </c>
      <c r="T416" s="27">
        <f>IF(B416="","",IF(OR(F416="Electric",F416="Plug-in",F416="Hibrid"),1,0))</f>
        <v/>
      </c>
    </row>
    <row r="417">
      <c r="A417" s="18" t="n"/>
      <c r="B417" s="18" t="n"/>
      <c r="C417" s="19" t="n"/>
      <c r="D417" s="19" t="n"/>
      <c r="E417" s="20" t="n"/>
      <c r="F417" s="19" t="n"/>
      <c r="G417" s="21" t="n"/>
      <c r="H417" s="22" t="n"/>
      <c r="I417" s="22" t="n"/>
      <c r="J417" s="22" t="n"/>
      <c r="K417" s="19" t="n"/>
      <c r="L417" s="19" t="n"/>
      <c r="M417" s="19" t="n"/>
      <c r="N417" s="19" t="n"/>
      <c r="O417" s="23">
        <f>IF(J417="","",H417+I417)</f>
        <v/>
      </c>
      <c r="P417" s="23">
        <f>IF(J417="","",J417-O417)</f>
        <v/>
      </c>
      <c r="Q417" s="24">
        <f>IF(OR(J417="",J417=0),"",P417/J417)</f>
        <v/>
      </c>
      <c r="R417" s="25">
        <f>IF(OR(A417="",B417=""),"",B417-A417)</f>
        <v/>
      </c>
      <c r="S417" s="26">
        <f>IF(B417="","",YEAR(B417))</f>
        <v/>
      </c>
      <c r="T417" s="27">
        <f>IF(B417="","",IF(OR(F417="Electric",F417="Plug-in",F417="Hibrid"),1,0))</f>
        <v/>
      </c>
    </row>
    <row r="418">
      <c r="A418" s="18" t="n"/>
      <c r="B418" s="18" t="n"/>
      <c r="C418" s="19" t="n"/>
      <c r="D418" s="19" t="n"/>
      <c r="E418" s="20" t="n"/>
      <c r="F418" s="19" t="n"/>
      <c r="G418" s="21" t="n"/>
      <c r="H418" s="22" t="n"/>
      <c r="I418" s="22" t="n"/>
      <c r="J418" s="22" t="n"/>
      <c r="K418" s="19" t="n"/>
      <c r="L418" s="19" t="n"/>
      <c r="M418" s="19" t="n"/>
      <c r="N418" s="19" t="n"/>
      <c r="O418" s="23">
        <f>IF(J418="","",H418+I418)</f>
        <v/>
      </c>
      <c r="P418" s="23">
        <f>IF(J418="","",J418-O418)</f>
        <v/>
      </c>
      <c r="Q418" s="24">
        <f>IF(OR(J418="",J418=0),"",P418/J418)</f>
        <v/>
      </c>
      <c r="R418" s="25">
        <f>IF(OR(A418="",B418=""),"",B418-A418)</f>
        <v/>
      </c>
      <c r="S418" s="26">
        <f>IF(B418="","",YEAR(B418))</f>
        <v/>
      </c>
      <c r="T418" s="27">
        <f>IF(B418="","",IF(OR(F418="Electric",F418="Plug-in",F418="Hibrid"),1,0))</f>
        <v/>
      </c>
    </row>
    <row r="419">
      <c r="A419" s="18" t="n"/>
      <c r="B419" s="18" t="n"/>
      <c r="C419" s="19" t="n"/>
      <c r="D419" s="19" t="n"/>
      <c r="E419" s="20" t="n"/>
      <c r="F419" s="19" t="n"/>
      <c r="G419" s="21" t="n"/>
      <c r="H419" s="22" t="n"/>
      <c r="I419" s="22" t="n"/>
      <c r="J419" s="22" t="n"/>
      <c r="K419" s="19" t="n"/>
      <c r="L419" s="19" t="n"/>
      <c r="M419" s="19" t="n"/>
      <c r="N419" s="19" t="n"/>
      <c r="O419" s="23">
        <f>IF(J419="","",H419+I419)</f>
        <v/>
      </c>
      <c r="P419" s="23">
        <f>IF(J419="","",J419-O419)</f>
        <v/>
      </c>
      <c r="Q419" s="24">
        <f>IF(OR(J419="",J419=0),"",P419/J419)</f>
        <v/>
      </c>
      <c r="R419" s="25">
        <f>IF(OR(A419="",B419=""),"",B419-A419)</f>
        <v/>
      </c>
      <c r="S419" s="26">
        <f>IF(B419="","",YEAR(B419))</f>
        <v/>
      </c>
      <c r="T419" s="27">
        <f>IF(B419="","",IF(OR(F419="Electric",F419="Plug-in",F419="Hibrid"),1,0))</f>
        <v/>
      </c>
    </row>
    <row r="420">
      <c r="A420" s="18" t="n"/>
      <c r="B420" s="18" t="n"/>
      <c r="C420" s="19" t="n"/>
      <c r="D420" s="19" t="n"/>
      <c r="E420" s="20" t="n"/>
      <c r="F420" s="19" t="n"/>
      <c r="G420" s="21" t="n"/>
      <c r="H420" s="22" t="n"/>
      <c r="I420" s="22" t="n"/>
      <c r="J420" s="22" t="n"/>
      <c r="K420" s="19" t="n"/>
      <c r="L420" s="19" t="n"/>
      <c r="M420" s="19" t="n"/>
      <c r="N420" s="19" t="n"/>
      <c r="O420" s="23">
        <f>IF(J420="","",H420+I420)</f>
        <v/>
      </c>
      <c r="P420" s="23">
        <f>IF(J420="","",J420-O420)</f>
        <v/>
      </c>
      <c r="Q420" s="24">
        <f>IF(OR(J420="",J420=0),"",P420/J420)</f>
        <v/>
      </c>
      <c r="R420" s="25">
        <f>IF(OR(A420="",B420=""),"",B420-A420)</f>
        <v/>
      </c>
      <c r="S420" s="26">
        <f>IF(B420="","",YEAR(B420))</f>
        <v/>
      </c>
      <c r="T420" s="27">
        <f>IF(B420="","",IF(OR(F420="Electric",F420="Plug-in",F420="Hibrid"),1,0))</f>
        <v/>
      </c>
    </row>
    <row r="421">
      <c r="A421" s="18" t="n"/>
      <c r="B421" s="18" t="n"/>
      <c r="C421" s="19" t="n"/>
      <c r="D421" s="19" t="n"/>
      <c r="E421" s="20" t="n"/>
      <c r="F421" s="19" t="n"/>
      <c r="G421" s="21" t="n"/>
      <c r="H421" s="22" t="n"/>
      <c r="I421" s="22" t="n"/>
      <c r="J421" s="22" t="n"/>
      <c r="K421" s="19" t="n"/>
      <c r="L421" s="19" t="n"/>
      <c r="M421" s="19" t="n"/>
      <c r="N421" s="19" t="n"/>
      <c r="O421" s="23">
        <f>IF(J421="","",H421+I421)</f>
        <v/>
      </c>
      <c r="P421" s="23">
        <f>IF(J421="","",J421-O421)</f>
        <v/>
      </c>
      <c r="Q421" s="24">
        <f>IF(OR(J421="",J421=0),"",P421/J421)</f>
        <v/>
      </c>
      <c r="R421" s="25">
        <f>IF(OR(A421="",B421=""),"",B421-A421)</f>
        <v/>
      </c>
      <c r="S421" s="26">
        <f>IF(B421="","",YEAR(B421))</f>
        <v/>
      </c>
      <c r="T421" s="27">
        <f>IF(B421="","",IF(OR(F421="Electric",F421="Plug-in",F421="Hibrid"),1,0))</f>
        <v/>
      </c>
    </row>
    <row r="422">
      <c r="A422" s="18" t="n"/>
      <c r="B422" s="18" t="n"/>
      <c r="C422" s="19" t="n"/>
      <c r="D422" s="19" t="n"/>
      <c r="E422" s="20" t="n"/>
      <c r="F422" s="19" t="n"/>
      <c r="G422" s="21" t="n"/>
      <c r="H422" s="22" t="n"/>
      <c r="I422" s="22" t="n"/>
      <c r="J422" s="22" t="n"/>
      <c r="K422" s="19" t="n"/>
      <c r="L422" s="19" t="n"/>
      <c r="M422" s="19" t="n"/>
      <c r="N422" s="19" t="n"/>
      <c r="O422" s="23">
        <f>IF(J422="","",H422+I422)</f>
        <v/>
      </c>
      <c r="P422" s="23">
        <f>IF(J422="","",J422-O422)</f>
        <v/>
      </c>
      <c r="Q422" s="24">
        <f>IF(OR(J422="",J422=0),"",P422/J422)</f>
        <v/>
      </c>
      <c r="R422" s="25">
        <f>IF(OR(A422="",B422=""),"",B422-A422)</f>
        <v/>
      </c>
      <c r="S422" s="26">
        <f>IF(B422="","",YEAR(B422))</f>
        <v/>
      </c>
      <c r="T422" s="27">
        <f>IF(B422="","",IF(OR(F422="Electric",F422="Plug-in",F422="Hibrid"),1,0))</f>
        <v/>
      </c>
    </row>
    <row r="423">
      <c r="A423" s="18" t="n"/>
      <c r="B423" s="18" t="n"/>
      <c r="C423" s="19" t="n"/>
      <c r="D423" s="19" t="n"/>
      <c r="E423" s="20" t="n"/>
      <c r="F423" s="19" t="n"/>
      <c r="G423" s="21" t="n"/>
      <c r="H423" s="22" t="n"/>
      <c r="I423" s="22" t="n"/>
      <c r="J423" s="22" t="n"/>
      <c r="K423" s="19" t="n"/>
      <c r="L423" s="19" t="n"/>
      <c r="M423" s="19" t="n"/>
      <c r="N423" s="19" t="n"/>
      <c r="O423" s="23">
        <f>IF(J423="","",H423+I423)</f>
        <v/>
      </c>
      <c r="P423" s="23">
        <f>IF(J423="","",J423-O423)</f>
        <v/>
      </c>
      <c r="Q423" s="24">
        <f>IF(OR(J423="",J423=0),"",P423/J423)</f>
        <v/>
      </c>
      <c r="R423" s="25">
        <f>IF(OR(A423="",B423=""),"",B423-A423)</f>
        <v/>
      </c>
      <c r="S423" s="26">
        <f>IF(B423="","",YEAR(B423))</f>
        <v/>
      </c>
      <c r="T423" s="27">
        <f>IF(B423="","",IF(OR(F423="Electric",F423="Plug-in",F423="Hibrid"),1,0))</f>
        <v/>
      </c>
    </row>
    <row r="424">
      <c r="A424" s="18" t="n"/>
      <c r="B424" s="18" t="n"/>
      <c r="C424" s="19" t="n"/>
      <c r="D424" s="19" t="n"/>
      <c r="E424" s="20" t="n"/>
      <c r="F424" s="19" t="n"/>
      <c r="G424" s="21" t="n"/>
      <c r="H424" s="22" t="n"/>
      <c r="I424" s="22" t="n"/>
      <c r="J424" s="22" t="n"/>
      <c r="K424" s="19" t="n"/>
      <c r="L424" s="19" t="n"/>
      <c r="M424" s="19" t="n"/>
      <c r="N424" s="19" t="n"/>
      <c r="O424" s="23">
        <f>IF(J424="","",H424+I424)</f>
        <v/>
      </c>
      <c r="P424" s="23">
        <f>IF(J424="","",J424-O424)</f>
        <v/>
      </c>
      <c r="Q424" s="24">
        <f>IF(OR(J424="",J424=0),"",P424/J424)</f>
        <v/>
      </c>
      <c r="R424" s="25">
        <f>IF(OR(A424="",B424=""),"",B424-A424)</f>
        <v/>
      </c>
      <c r="S424" s="26">
        <f>IF(B424="","",YEAR(B424))</f>
        <v/>
      </c>
      <c r="T424" s="27">
        <f>IF(B424="","",IF(OR(F424="Electric",F424="Plug-in",F424="Hibrid"),1,0))</f>
        <v/>
      </c>
    </row>
    <row r="425">
      <c r="A425" s="18" t="n"/>
      <c r="B425" s="18" t="n"/>
      <c r="C425" s="19" t="n"/>
      <c r="D425" s="19" t="n"/>
      <c r="E425" s="20" t="n"/>
      <c r="F425" s="19" t="n"/>
      <c r="G425" s="21" t="n"/>
      <c r="H425" s="22" t="n"/>
      <c r="I425" s="22" t="n"/>
      <c r="J425" s="22" t="n"/>
      <c r="K425" s="19" t="n"/>
      <c r="L425" s="19" t="n"/>
      <c r="M425" s="19" t="n"/>
      <c r="N425" s="19" t="n"/>
      <c r="O425" s="23">
        <f>IF(J425="","",H425+I425)</f>
        <v/>
      </c>
      <c r="P425" s="23">
        <f>IF(J425="","",J425-O425)</f>
        <v/>
      </c>
      <c r="Q425" s="24">
        <f>IF(OR(J425="",J425=0),"",P425/J425)</f>
        <v/>
      </c>
      <c r="R425" s="25">
        <f>IF(OR(A425="",B425=""),"",B425-A425)</f>
        <v/>
      </c>
      <c r="S425" s="26">
        <f>IF(B425="","",YEAR(B425))</f>
        <v/>
      </c>
      <c r="T425" s="27">
        <f>IF(B425="","",IF(OR(F425="Electric",F425="Plug-in",F425="Hibrid"),1,0))</f>
        <v/>
      </c>
    </row>
    <row r="426">
      <c r="A426" s="18" t="n"/>
      <c r="B426" s="18" t="n"/>
      <c r="C426" s="19" t="n"/>
      <c r="D426" s="19" t="n"/>
      <c r="E426" s="20" t="n"/>
      <c r="F426" s="19" t="n"/>
      <c r="G426" s="21" t="n"/>
      <c r="H426" s="22" t="n"/>
      <c r="I426" s="22" t="n"/>
      <c r="J426" s="22" t="n"/>
      <c r="K426" s="19" t="n"/>
      <c r="L426" s="19" t="n"/>
      <c r="M426" s="19" t="n"/>
      <c r="N426" s="19" t="n"/>
      <c r="O426" s="23">
        <f>IF(J426="","",H426+I426)</f>
        <v/>
      </c>
      <c r="P426" s="23">
        <f>IF(J426="","",J426-O426)</f>
        <v/>
      </c>
      <c r="Q426" s="24">
        <f>IF(OR(J426="",J426=0),"",P426/J426)</f>
        <v/>
      </c>
      <c r="R426" s="25">
        <f>IF(OR(A426="",B426=""),"",B426-A426)</f>
        <v/>
      </c>
      <c r="S426" s="26">
        <f>IF(B426="","",YEAR(B426))</f>
        <v/>
      </c>
      <c r="T426" s="27">
        <f>IF(B426="","",IF(OR(F426="Electric",F426="Plug-in",F426="Hibrid"),1,0))</f>
        <v/>
      </c>
    </row>
    <row r="427">
      <c r="A427" s="18" t="n"/>
      <c r="B427" s="18" t="n"/>
      <c r="C427" s="19" t="n"/>
      <c r="D427" s="19" t="n"/>
      <c r="E427" s="20" t="n"/>
      <c r="F427" s="19" t="n"/>
      <c r="G427" s="21" t="n"/>
      <c r="H427" s="22" t="n"/>
      <c r="I427" s="22" t="n"/>
      <c r="J427" s="22" t="n"/>
      <c r="K427" s="19" t="n"/>
      <c r="L427" s="19" t="n"/>
      <c r="M427" s="19" t="n"/>
      <c r="N427" s="19" t="n"/>
      <c r="O427" s="23">
        <f>IF(J427="","",H427+I427)</f>
        <v/>
      </c>
      <c r="P427" s="23">
        <f>IF(J427="","",J427-O427)</f>
        <v/>
      </c>
      <c r="Q427" s="24">
        <f>IF(OR(J427="",J427=0),"",P427/J427)</f>
        <v/>
      </c>
      <c r="R427" s="25">
        <f>IF(OR(A427="",B427=""),"",B427-A427)</f>
        <v/>
      </c>
      <c r="S427" s="26">
        <f>IF(B427="","",YEAR(B427))</f>
        <v/>
      </c>
      <c r="T427" s="27">
        <f>IF(B427="","",IF(OR(F427="Electric",F427="Plug-in",F427="Hibrid"),1,0))</f>
        <v/>
      </c>
    </row>
    <row r="428">
      <c r="A428" s="18" t="n"/>
      <c r="B428" s="18" t="n"/>
      <c r="C428" s="19" t="n"/>
      <c r="D428" s="19" t="n"/>
      <c r="E428" s="20" t="n"/>
      <c r="F428" s="19" t="n"/>
      <c r="G428" s="21" t="n"/>
      <c r="H428" s="22" t="n"/>
      <c r="I428" s="22" t="n"/>
      <c r="J428" s="22" t="n"/>
      <c r="K428" s="19" t="n"/>
      <c r="L428" s="19" t="n"/>
      <c r="M428" s="19" t="n"/>
      <c r="N428" s="19" t="n"/>
      <c r="O428" s="23">
        <f>IF(J428="","",H428+I428)</f>
        <v/>
      </c>
      <c r="P428" s="23">
        <f>IF(J428="","",J428-O428)</f>
        <v/>
      </c>
      <c r="Q428" s="24">
        <f>IF(OR(J428="",J428=0),"",P428/J428)</f>
        <v/>
      </c>
      <c r="R428" s="25">
        <f>IF(OR(A428="",B428=""),"",B428-A428)</f>
        <v/>
      </c>
      <c r="S428" s="26">
        <f>IF(B428="","",YEAR(B428))</f>
        <v/>
      </c>
      <c r="T428" s="27">
        <f>IF(B428="","",IF(OR(F428="Electric",F428="Plug-in",F428="Hibrid"),1,0))</f>
        <v/>
      </c>
    </row>
    <row r="429">
      <c r="A429" s="18" t="n"/>
      <c r="B429" s="18" t="n"/>
      <c r="C429" s="19" t="n"/>
      <c r="D429" s="19" t="n"/>
      <c r="E429" s="20" t="n"/>
      <c r="F429" s="19" t="n"/>
      <c r="G429" s="21" t="n"/>
      <c r="H429" s="22" t="n"/>
      <c r="I429" s="22" t="n"/>
      <c r="J429" s="22" t="n"/>
      <c r="K429" s="19" t="n"/>
      <c r="L429" s="19" t="n"/>
      <c r="M429" s="19" t="n"/>
      <c r="N429" s="19" t="n"/>
      <c r="O429" s="23">
        <f>IF(J429="","",H429+I429)</f>
        <v/>
      </c>
      <c r="P429" s="23">
        <f>IF(J429="","",J429-O429)</f>
        <v/>
      </c>
      <c r="Q429" s="24">
        <f>IF(OR(J429="",J429=0),"",P429/J429)</f>
        <v/>
      </c>
      <c r="R429" s="25">
        <f>IF(OR(A429="",B429=""),"",B429-A429)</f>
        <v/>
      </c>
      <c r="S429" s="26">
        <f>IF(B429="","",YEAR(B429))</f>
        <v/>
      </c>
      <c r="T429" s="27">
        <f>IF(B429="","",IF(OR(F429="Electric",F429="Plug-in",F429="Hibrid"),1,0))</f>
        <v/>
      </c>
    </row>
    <row r="430">
      <c r="A430" s="18" t="n"/>
      <c r="B430" s="18" t="n"/>
      <c r="C430" s="19" t="n"/>
      <c r="D430" s="19" t="n"/>
      <c r="E430" s="20" t="n"/>
      <c r="F430" s="19" t="n"/>
      <c r="G430" s="21" t="n"/>
      <c r="H430" s="22" t="n"/>
      <c r="I430" s="22" t="n"/>
      <c r="J430" s="22" t="n"/>
      <c r="K430" s="19" t="n"/>
      <c r="L430" s="19" t="n"/>
      <c r="M430" s="19" t="n"/>
      <c r="N430" s="19" t="n"/>
      <c r="O430" s="23">
        <f>IF(J430="","",H430+I430)</f>
        <v/>
      </c>
      <c r="P430" s="23">
        <f>IF(J430="","",J430-O430)</f>
        <v/>
      </c>
      <c r="Q430" s="24">
        <f>IF(OR(J430="",J430=0),"",P430/J430)</f>
        <v/>
      </c>
      <c r="R430" s="25">
        <f>IF(OR(A430="",B430=""),"",B430-A430)</f>
        <v/>
      </c>
      <c r="S430" s="26">
        <f>IF(B430="","",YEAR(B430))</f>
        <v/>
      </c>
      <c r="T430" s="27">
        <f>IF(B430="","",IF(OR(F430="Electric",F430="Plug-in",F430="Hibrid"),1,0))</f>
        <v/>
      </c>
    </row>
    <row r="431">
      <c r="A431" s="18" t="n"/>
      <c r="B431" s="18" t="n"/>
      <c r="C431" s="19" t="n"/>
      <c r="D431" s="19" t="n"/>
      <c r="E431" s="20" t="n"/>
      <c r="F431" s="19" t="n"/>
      <c r="G431" s="21" t="n"/>
      <c r="H431" s="22" t="n"/>
      <c r="I431" s="22" t="n"/>
      <c r="J431" s="22" t="n"/>
      <c r="K431" s="19" t="n"/>
      <c r="L431" s="19" t="n"/>
      <c r="M431" s="19" t="n"/>
      <c r="N431" s="19" t="n"/>
      <c r="O431" s="23">
        <f>IF(J431="","",H431+I431)</f>
        <v/>
      </c>
      <c r="P431" s="23">
        <f>IF(J431="","",J431-O431)</f>
        <v/>
      </c>
      <c r="Q431" s="24">
        <f>IF(OR(J431="",J431=0),"",P431/J431)</f>
        <v/>
      </c>
      <c r="R431" s="25">
        <f>IF(OR(A431="",B431=""),"",B431-A431)</f>
        <v/>
      </c>
      <c r="S431" s="26">
        <f>IF(B431="","",YEAR(B431))</f>
        <v/>
      </c>
      <c r="T431" s="27">
        <f>IF(B431="","",IF(OR(F431="Electric",F431="Plug-in",F431="Hibrid"),1,0))</f>
        <v/>
      </c>
    </row>
    <row r="432">
      <c r="A432" s="18" t="n"/>
      <c r="B432" s="18" t="n"/>
      <c r="C432" s="19" t="n"/>
      <c r="D432" s="19" t="n"/>
      <c r="E432" s="20" t="n"/>
      <c r="F432" s="19" t="n"/>
      <c r="G432" s="21" t="n"/>
      <c r="H432" s="22" t="n"/>
      <c r="I432" s="22" t="n"/>
      <c r="J432" s="22" t="n"/>
      <c r="K432" s="19" t="n"/>
      <c r="L432" s="19" t="n"/>
      <c r="M432" s="19" t="n"/>
      <c r="N432" s="19" t="n"/>
      <c r="O432" s="23">
        <f>IF(J432="","",H432+I432)</f>
        <v/>
      </c>
      <c r="P432" s="23">
        <f>IF(J432="","",J432-O432)</f>
        <v/>
      </c>
      <c r="Q432" s="24">
        <f>IF(OR(J432="",J432=0),"",P432/J432)</f>
        <v/>
      </c>
      <c r="R432" s="25">
        <f>IF(OR(A432="",B432=""),"",B432-A432)</f>
        <v/>
      </c>
      <c r="S432" s="26">
        <f>IF(B432="","",YEAR(B432))</f>
        <v/>
      </c>
      <c r="T432" s="27">
        <f>IF(B432="","",IF(OR(F432="Electric",F432="Plug-in",F432="Hibrid"),1,0))</f>
        <v/>
      </c>
    </row>
    <row r="433">
      <c r="A433" s="18" t="n"/>
      <c r="B433" s="18" t="n"/>
      <c r="C433" s="19" t="n"/>
      <c r="D433" s="19" t="n"/>
      <c r="E433" s="20" t="n"/>
      <c r="F433" s="19" t="n"/>
      <c r="G433" s="21" t="n"/>
      <c r="H433" s="22" t="n"/>
      <c r="I433" s="22" t="n"/>
      <c r="J433" s="22" t="n"/>
      <c r="K433" s="19" t="n"/>
      <c r="L433" s="19" t="n"/>
      <c r="M433" s="19" t="n"/>
      <c r="N433" s="19" t="n"/>
      <c r="O433" s="23">
        <f>IF(J433="","",H433+I433)</f>
        <v/>
      </c>
      <c r="P433" s="23">
        <f>IF(J433="","",J433-O433)</f>
        <v/>
      </c>
      <c r="Q433" s="24">
        <f>IF(OR(J433="",J433=0),"",P433/J433)</f>
        <v/>
      </c>
      <c r="R433" s="25">
        <f>IF(OR(A433="",B433=""),"",B433-A433)</f>
        <v/>
      </c>
      <c r="S433" s="26">
        <f>IF(B433="","",YEAR(B433))</f>
        <v/>
      </c>
      <c r="T433" s="27">
        <f>IF(B433="","",IF(OR(F433="Electric",F433="Plug-in",F433="Hibrid"),1,0))</f>
        <v/>
      </c>
    </row>
    <row r="434">
      <c r="A434" s="18" t="n"/>
      <c r="B434" s="18" t="n"/>
      <c r="C434" s="19" t="n"/>
      <c r="D434" s="19" t="n"/>
      <c r="E434" s="20" t="n"/>
      <c r="F434" s="19" t="n"/>
      <c r="G434" s="21" t="n"/>
      <c r="H434" s="22" t="n"/>
      <c r="I434" s="22" t="n"/>
      <c r="J434" s="22" t="n"/>
      <c r="K434" s="19" t="n"/>
      <c r="L434" s="19" t="n"/>
      <c r="M434" s="19" t="n"/>
      <c r="N434" s="19" t="n"/>
      <c r="O434" s="23">
        <f>IF(J434="","",H434+I434)</f>
        <v/>
      </c>
      <c r="P434" s="23">
        <f>IF(J434="","",J434-O434)</f>
        <v/>
      </c>
      <c r="Q434" s="24">
        <f>IF(OR(J434="",J434=0),"",P434/J434)</f>
        <v/>
      </c>
      <c r="R434" s="25">
        <f>IF(OR(A434="",B434=""),"",B434-A434)</f>
        <v/>
      </c>
      <c r="S434" s="26">
        <f>IF(B434="","",YEAR(B434))</f>
        <v/>
      </c>
      <c r="T434" s="27">
        <f>IF(B434="","",IF(OR(F434="Electric",F434="Plug-in",F434="Hibrid"),1,0))</f>
        <v/>
      </c>
    </row>
    <row r="435">
      <c r="A435" s="18" t="n"/>
      <c r="B435" s="18" t="n"/>
      <c r="C435" s="19" t="n"/>
      <c r="D435" s="19" t="n"/>
      <c r="E435" s="20" t="n"/>
      <c r="F435" s="19" t="n"/>
      <c r="G435" s="21" t="n"/>
      <c r="H435" s="22" t="n"/>
      <c r="I435" s="22" t="n"/>
      <c r="J435" s="22" t="n"/>
      <c r="K435" s="19" t="n"/>
      <c r="L435" s="19" t="n"/>
      <c r="M435" s="19" t="n"/>
      <c r="N435" s="19" t="n"/>
      <c r="O435" s="23">
        <f>IF(J435="","",H435+I435)</f>
        <v/>
      </c>
      <c r="P435" s="23">
        <f>IF(J435="","",J435-O435)</f>
        <v/>
      </c>
      <c r="Q435" s="24">
        <f>IF(OR(J435="",J435=0),"",P435/J435)</f>
        <v/>
      </c>
      <c r="R435" s="25">
        <f>IF(OR(A435="",B435=""),"",B435-A435)</f>
        <v/>
      </c>
      <c r="S435" s="26">
        <f>IF(B435="","",YEAR(B435))</f>
        <v/>
      </c>
      <c r="T435" s="27">
        <f>IF(B435="","",IF(OR(F435="Electric",F435="Plug-in",F435="Hibrid"),1,0))</f>
        <v/>
      </c>
    </row>
    <row r="436">
      <c r="A436" s="18" t="n"/>
      <c r="B436" s="18" t="n"/>
      <c r="C436" s="19" t="n"/>
      <c r="D436" s="19" t="n"/>
      <c r="E436" s="20" t="n"/>
      <c r="F436" s="19" t="n"/>
      <c r="G436" s="21" t="n"/>
      <c r="H436" s="22" t="n"/>
      <c r="I436" s="22" t="n"/>
      <c r="J436" s="22" t="n"/>
      <c r="K436" s="19" t="n"/>
      <c r="L436" s="19" t="n"/>
      <c r="M436" s="19" t="n"/>
      <c r="N436" s="19" t="n"/>
      <c r="O436" s="23">
        <f>IF(J436="","",H436+I436)</f>
        <v/>
      </c>
      <c r="P436" s="23">
        <f>IF(J436="","",J436-O436)</f>
        <v/>
      </c>
      <c r="Q436" s="24">
        <f>IF(OR(J436="",J436=0),"",P436/J436)</f>
        <v/>
      </c>
      <c r="R436" s="25">
        <f>IF(OR(A436="",B436=""),"",B436-A436)</f>
        <v/>
      </c>
      <c r="S436" s="26">
        <f>IF(B436="","",YEAR(B436))</f>
        <v/>
      </c>
      <c r="T436" s="27">
        <f>IF(B436="","",IF(OR(F436="Electric",F436="Plug-in",F436="Hibrid"),1,0))</f>
        <v/>
      </c>
    </row>
    <row r="437">
      <c r="A437" s="18" t="n"/>
      <c r="B437" s="18" t="n"/>
      <c r="C437" s="19" t="n"/>
      <c r="D437" s="19" t="n"/>
      <c r="E437" s="20" t="n"/>
      <c r="F437" s="19" t="n"/>
      <c r="G437" s="21" t="n"/>
      <c r="H437" s="22" t="n"/>
      <c r="I437" s="22" t="n"/>
      <c r="J437" s="22" t="n"/>
      <c r="K437" s="19" t="n"/>
      <c r="L437" s="19" t="n"/>
      <c r="M437" s="19" t="n"/>
      <c r="N437" s="19" t="n"/>
      <c r="O437" s="23">
        <f>IF(J437="","",H437+I437)</f>
        <v/>
      </c>
      <c r="P437" s="23">
        <f>IF(J437="","",J437-O437)</f>
        <v/>
      </c>
      <c r="Q437" s="24">
        <f>IF(OR(J437="",J437=0),"",P437/J437)</f>
        <v/>
      </c>
      <c r="R437" s="25">
        <f>IF(OR(A437="",B437=""),"",B437-A437)</f>
        <v/>
      </c>
      <c r="S437" s="26">
        <f>IF(B437="","",YEAR(B437))</f>
        <v/>
      </c>
      <c r="T437" s="27">
        <f>IF(B437="","",IF(OR(F437="Electric",F437="Plug-in",F437="Hibrid"),1,0))</f>
        <v/>
      </c>
    </row>
    <row r="438">
      <c r="A438" s="18" t="n"/>
      <c r="B438" s="18" t="n"/>
      <c r="C438" s="19" t="n"/>
      <c r="D438" s="19" t="n"/>
      <c r="E438" s="20" t="n"/>
      <c r="F438" s="19" t="n"/>
      <c r="G438" s="21" t="n"/>
      <c r="H438" s="22" t="n"/>
      <c r="I438" s="22" t="n"/>
      <c r="J438" s="22" t="n"/>
      <c r="K438" s="19" t="n"/>
      <c r="L438" s="19" t="n"/>
      <c r="M438" s="19" t="n"/>
      <c r="N438" s="19" t="n"/>
      <c r="O438" s="23">
        <f>IF(J438="","",H438+I438)</f>
        <v/>
      </c>
      <c r="P438" s="23">
        <f>IF(J438="","",J438-O438)</f>
        <v/>
      </c>
      <c r="Q438" s="24">
        <f>IF(OR(J438="",J438=0),"",P438/J438)</f>
        <v/>
      </c>
      <c r="R438" s="25">
        <f>IF(OR(A438="",B438=""),"",B438-A438)</f>
        <v/>
      </c>
      <c r="S438" s="26">
        <f>IF(B438="","",YEAR(B438))</f>
        <v/>
      </c>
      <c r="T438" s="27">
        <f>IF(B438="","",IF(OR(F438="Electric",F438="Plug-in",F438="Hibrid"),1,0))</f>
        <v/>
      </c>
    </row>
    <row r="439">
      <c r="A439" s="18" t="n"/>
      <c r="B439" s="18" t="n"/>
      <c r="C439" s="19" t="n"/>
      <c r="D439" s="19" t="n"/>
      <c r="E439" s="20" t="n"/>
      <c r="F439" s="19" t="n"/>
      <c r="G439" s="21" t="n"/>
      <c r="H439" s="22" t="n"/>
      <c r="I439" s="22" t="n"/>
      <c r="J439" s="22" t="n"/>
      <c r="K439" s="19" t="n"/>
      <c r="L439" s="19" t="n"/>
      <c r="M439" s="19" t="n"/>
      <c r="N439" s="19" t="n"/>
      <c r="O439" s="23">
        <f>IF(J439="","",H439+I439)</f>
        <v/>
      </c>
      <c r="P439" s="23">
        <f>IF(J439="","",J439-O439)</f>
        <v/>
      </c>
      <c r="Q439" s="24">
        <f>IF(OR(J439="",J439=0),"",P439/J439)</f>
        <v/>
      </c>
      <c r="R439" s="25">
        <f>IF(OR(A439="",B439=""),"",B439-A439)</f>
        <v/>
      </c>
      <c r="S439" s="26">
        <f>IF(B439="","",YEAR(B439))</f>
        <v/>
      </c>
      <c r="T439" s="27">
        <f>IF(B439="","",IF(OR(F439="Electric",F439="Plug-in",F439="Hibrid"),1,0))</f>
        <v/>
      </c>
    </row>
    <row r="440">
      <c r="A440" s="18" t="n"/>
      <c r="B440" s="18" t="n"/>
      <c r="C440" s="19" t="n"/>
      <c r="D440" s="19" t="n"/>
      <c r="E440" s="20" t="n"/>
      <c r="F440" s="19" t="n"/>
      <c r="G440" s="21" t="n"/>
      <c r="H440" s="22" t="n"/>
      <c r="I440" s="22" t="n"/>
      <c r="J440" s="22" t="n"/>
      <c r="K440" s="19" t="n"/>
      <c r="L440" s="19" t="n"/>
      <c r="M440" s="19" t="n"/>
      <c r="N440" s="19" t="n"/>
      <c r="O440" s="23">
        <f>IF(J440="","",H440+I440)</f>
        <v/>
      </c>
      <c r="P440" s="23">
        <f>IF(J440="","",J440-O440)</f>
        <v/>
      </c>
      <c r="Q440" s="24">
        <f>IF(OR(J440="",J440=0),"",P440/J440)</f>
        <v/>
      </c>
      <c r="R440" s="25">
        <f>IF(OR(A440="",B440=""),"",B440-A440)</f>
        <v/>
      </c>
      <c r="S440" s="26">
        <f>IF(B440="","",YEAR(B440))</f>
        <v/>
      </c>
      <c r="T440" s="27">
        <f>IF(B440="","",IF(OR(F440="Electric",F440="Plug-in",F440="Hibrid"),1,0))</f>
        <v/>
      </c>
    </row>
    <row r="441">
      <c r="A441" s="18" t="n"/>
      <c r="B441" s="18" t="n"/>
      <c r="C441" s="19" t="n"/>
      <c r="D441" s="19" t="n"/>
      <c r="E441" s="20" t="n"/>
      <c r="F441" s="19" t="n"/>
      <c r="G441" s="21" t="n"/>
      <c r="H441" s="22" t="n"/>
      <c r="I441" s="22" t="n"/>
      <c r="J441" s="22" t="n"/>
      <c r="K441" s="19" t="n"/>
      <c r="L441" s="19" t="n"/>
      <c r="M441" s="19" t="n"/>
      <c r="N441" s="19" t="n"/>
      <c r="O441" s="23">
        <f>IF(J441="","",H441+I441)</f>
        <v/>
      </c>
      <c r="P441" s="23">
        <f>IF(J441="","",J441-O441)</f>
        <v/>
      </c>
      <c r="Q441" s="24">
        <f>IF(OR(J441="",J441=0),"",P441/J441)</f>
        <v/>
      </c>
      <c r="R441" s="25">
        <f>IF(OR(A441="",B441=""),"",B441-A441)</f>
        <v/>
      </c>
      <c r="S441" s="26">
        <f>IF(B441="","",YEAR(B441))</f>
        <v/>
      </c>
      <c r="T441" s="27">
        <f>IF(B441="","",IF(OR(F441="Electric",F441="Plug-in",F441="Hibrid"),1,0))</f>
        <v/>
      </c>
    </row>
    <row r="442">
      <c r="A442" s="18" t="n"/>
      <c r="B442" s="18" t="n"/>
      <c r="C442" s="19" t="n"/>
      <c r="D442" s="19" t="n"/>
      <c r="E442" s="20" t="n"/>
      <c r="F442" s="19" t="n"/>
      <c r="G442" s="21" t="n"/>
      <c r="H442" s="22" t="n"/>
      <c r="I442" s="22" t="n"/>
      <c r="J442" s="22" t="n"/>
      <c r="K442" s="19" t="n"/>
      <c r="L442" s="19" t="n"/>
      <c r="M442" s="19" t="n"/>
      <c r="N442" s="19" t="n"/>
      <c r="O442" s="23">
        <f>IF(J442="","",H442+I442)</f>
        <v/>
      </c>
      <c r="P442" s="23">
        <f>IF(J442="","",J442-O442)</f>
        <v/>
      </c>
      <c r="Q442" s="24">
        <f>IF(OR(J442="",J442=0),"",P442/J442)</f>
        <v/>
      </c>
      <c r="R442" s="25">
        <f>IF(OR(A442="",B442=""),"",B442-A442)</f>
        <v/>
      </c>
      <c r="S442" s="26">
        <f>IF(B442="","",YEAR(B442))</f>
        <v/>
      </c>
      <c r="T442" s="27">
        <f>IF(B442="","",IF(OR(F442="Electric",F442="Plug-in",F442="Hibrid"),1,0))</f>
        <v/>
      </c>
    </row>
    <row r="443">
      <c r="A443" s="18" t="n"/>
      <c r="B443" s="18" t="n"/>
      <c r="C443" s="19" t="n"/>
      <c r="D443" s="19" t="n"/>
      <c r="E443" s="20" t="n"/>
      <c r="F443" s="19" t="n"/>
      <c r="G443" s="21" t="n"/>
      <c r="H443" s="22" t="n"/>
      <c r="I443" s="22" t="n"/>
      <c r="J443" s="22" t="n"/>
      <c r="K443" s="19" t="n"/>
      <c r="L443" s="19" t="n"/>
      <c r="M443" s="19" t="n"/>
      <c r="N443" s="19" t="n"/>
      <c r="O443" s="23">
        <f>IF(J443="","",H443+I443)</f>
        <v/>
      </c>
      <c r="P443" s="23">
        <f>IF(J443="","",J443-O443)</f>
        <v/>
      </c>
      <c r="Q443" s="24">
        <f>IF(OR(J443="",J443=0),"",P443/J443)</f>
        <v/>
      </c>
      <c r="R443" s="25">
        <f>IF(OR(A443="",B443=""),"",B443-A443)</f>
        <v/>
      </c>
      <c r="S443" s="26">
        <f>IF(B443="","",YEAR(B443))</f>
        <v/>
      </c>
      <c r="T443" s="27">
        <f>IF(B443="","",IF(OR(F443="Electric",F443="Plug-in",F443="Hibrid"),1,0))</f>
        <v/>
      </c>
    </row>
    <row r="444">
      <c r="A444" s="18" t="n"/>
      <c r="B444" s="18" t="n"/>
      <c r="C444" s="19" t="n"/>
      <c r="D444" s="19" t="n"/>
      <c r="E444" s="20" t="n"/>
      <c r="F444" s="19" t="n"/>
      <c r="G444" s="21" t="n"/>
      <c r="H444" s="22" t="n"/>
      <c r="I444" s="22" t="n"/>
      <c r="J444" s="22" t="n"/>
      <c r="K444" s="19" t="n"/>
      <c r="L444" s="19" t="n"/>
      <c r="M444" s="19" t="n"/>
      <c r="N444" s="19" t="n"/>
      <c r="O444" s="23">
        <f>IF(J444="","",H444+I444)</f>
        <v/>
      </c>
      <c r="P444" s="23">
        <f>IF(J444="","",J444-O444)</f>
        <v/>
      </c>
      <c r="Q444" s="24">
        <f>IF(OR(J444="",J444=0),"",P444/J444)</f>
        <v/>
      </c>
      <c r="R444" s="25">
        <f>IF(OR(A444="",B444=""),"",B444-A444)</f>
        <v/>
      </c>
      <c r="S444" s="26">
        <f>IF(B444="","",YEAR(B444))</f>
        <v/>
      </c>
      <c r="T444" s="27">
        <f>IF(B444="","",IF(OR(F444="Electric",F444="Plug-in",F444="Hibrid"),1,0))</f>
        <v/>
      </c>
    </row>
    <row r="445">
      <c r="A445" s="18" t="n"/>
      <c r="B445" s="18" t="n"/>
      <c r="C445" s="19" t="n"/>
      <c r="D445" s="19" t="n"/>
      <c r="E445" s="20" t="n"/>
      <c r="F445" s="19" t="n"/>
      <c r="G445" s="21" t="n"/>
      <c r="H445" s="22" t="n"/>
      <c r="I445" s="22" t="n"/>
      <c r="J445" s="22" t="n"/>
      <c r="K445" s="19" t="n"/>
      <c r="L445" s="19" t="n"/>
      <c r="M445" s="19" t="n"/>
      <c r="N445" s="19" t="n"/>
      <c r="O445" s="23">
        <f>IF(J445="","",H445+I445)</f>
        <v/>
      </c>
      <c r="P445" s="23">
        <f>IF(J445="","",J445-O445)</f>
        <v/>
      </c>
      <c r="Q445" s="24">
        <f>IF(OR(J445="",J445=0),"",P445/J445)</f>
        <v/>
      </c>
      <c r="R445" s="25">
        <f>IF(OR(A445="",B445=""),"",B445-A445)</f>
        <v/>
      </c>
      <c r="S445" s="26">
        <f>IF(B445="","",YEAR(B445))</f>
        <v/>
      </c>
      <c r="T445" s="27">
        <f>IF(B445="","",IF(OR(F445="Electric",F445="Plug-in",F445="Hibrid"),1,0))</f>
        <v/>
      </c>
    </row>
    <row r="446">
      <c r="A446" s="18" t="n"/>
      <c r="B446" s="18" t="n"/>
      <c r="C446" s="19" t="n"/>
      <c r="D446" s="19" t="n"/>
      <c r="E446" s="20" t="n"/>
      <c r="F446" s="19" t="n"/>
      <c r="G446" s="21" t="n"/>
      <c r="H446" s="22" t="n"/>
      <c r="I446" s="22" t="n"/>
      <c r="J446" s="22" t="n"/>
      <c r="K446" s="19" t="n"/>
      <c r="L446" s="19" t="n"/>
      <c r="M446" s="19" t="n"/>
      <c r="N446" s="19" t="n"/>
      <c r="O446" s="23">
        <f>IF(J446="","",H446+I446)</f>
        <v/>
      </c>
      <c r="P446" s="23">
        <f>IF(J446="","",J446-O446)</f>
        <v/>
      </c>
      <c r="Q446" s="24">
        <f>IF(OR(J446="",J446=0),"",P446/J446)</f>
        <v/>
      </c>
      <c r="R446" s="25">
        <f>IF(OR(A446="",B446=""),"",B446-A446)</f>
        <v/>
      </c>
      <c r="S446" s="26">
        <f>IF(B446="","",YEAR(B446))</f>
        <v/>
      </c>
      <c r="T446" s="27">
        <f>IF(B446="","",IF(OR(F446="Electric",F446="Plug-in",F446="Hibrid"),1,0))</f>
        <v/>
      </c>
    </row>
    <row r="447">
      <c r="A447" s="18" t="n"/>
      <c r="B447" s="18" t="n"/>
      <c r="C447" s="19" t="n"/>
      <c r="D447" s="19" t="n"/>
      <c r="E447" s="20" t="n"/>
      <c r="F447" s="19" t="n"/>
      <c r="G447" s="21" t="n"/>
      <c r="H447" s="22" t="n"/>
      <c r="I447" s="22" t="n"/>
      <c r="J447" s="22" t="n"/>
      <c r="K447" s="19" t="n"/>
      <c r="L447" s="19" t="n"/>
      <c r="M447" s="19" t="n"/>
      <c r="N447" s="19" t="n"/>
      <c r="O447" s="23">
        <f>IF(J447="","",H447+I447)</f>
        <v/>
      </c>
      <c r="P447" s="23">
        <f>IF(J447="","",J447-O447)</f>
        <v/>
      </c>
      <c r="Q447" s="24">
        <f>IF(OR(J447="",J447=0),"",P447/J447)</f>
        <v/>
      </c>
      <c r="R447" s="25">
        <f>IF(OR(A447="",B447=""),"",B447-A447)</f>
        <v/>
      </c>
      <c r="S447" s="26">
        <f>IF(B447="","",YEAR(B447))</f>
        <v/>
      </c>
      <c r="T447" s="27">
        <f>IF(B447="","",IF(OR(F447="Electric",F447="Plug-in",F447="Hibrid"),1,0))</f>
        <v/>
      </c>
    </row>
    <row r="448">
      <c r="A448" s="18" t="n"/>
      <c r="B448" s="18" t="n"/>
      <c r="C448" s="19" t="n"/>
      <c r="D448" s="19" t="n"/>
      <c r="E448" s="20" t="n"/>
      <c r="F448" s="19" t="n"/>
      <c r="G448" s="21" t="n"/>
      <c r="H448" s="22" t="n"/>
      <c r="I448" s="22" t="n"/>
      <c r="J448" s="22" t="n"/>
      <c r="K448" s="19" t="n"/>
      <c r="L448" s="19" t="n"/>
      <c r="M448" s="19" t="n"/>
      <c r="N448" s="19" t="n"/>
      <c r="O448" s="23">
        <f>IF(J448="","",H448+I448)</f>
        <v/>
      </c>
      <c r="P448" s="23">
        <f>IF(J448="","",J448-O448)</f>
        <v/>
      </c>
      <c r="Q448" s="24">
        <f>IF(OR(J448="",J448=0),"",P448/J448)</f>
        <v/>
      </c>
      <c r="R448" s="25">
        <f>IF(OR(A448="",B448=""),"",B448-A448)</f>
        <v/>
      </c>
      <c r="S448" s="26">
        <f>IF(B448="","",YEAR(B448))</f>
        <v/>
      </c>
      <c r="T448" s="27">
        <f>IF(B448="","",IF(OR(F448="Electric",F448="Plug-in",F448="Hibrid"),1,0))</f>
        <v/>
      </c>
    </row>
    <row r="449">
      <c r="A449" s="18" t="n"/>
      <c r="B449" s="18" t="n"/>
      <c r="C449" s="19" t="n"/>
      <c r="D449" s="19" t="n"/>
      <c r="E449" s="20" t="n"/>
      <c r="F449" s="19" t="n"/>
      <c r="G449" s="21" t="n"/>
      <c r="H449" s="22" t="n"/>
      <c r="I449" s="22" t="n"/>
      <c r="J449" s="22" t="n"/>
      <c r="K449" s="19" t="n"/>
      <c r="L449" s="19" t="n"/>
      <c r="M449" s="19" t="n"/>
      <c r="N449" s="19" t="n"/>
      <c r="O449" s="23">
        <f>IF(J449="","",H449+I449)</f>
        <v/>
      </c>
      <c r="P449" s="23">
        <f>IF(J449="","",J449-O449)</f>
        <v/>
      </c>
      <c r="Q449" s="24">
        <f>IF(OR(J449="",J449=0),"",P449/J449)</f>
        <v/>
      </c>
      <c r="R449" s="25">
        <f>IF(OR(A449="",B449=""),"",B449-A449)</f>
        <v/>
      </c>
      <c r="S449" s="26">
        <f>IF(B449="","",YEAR(B449))</f>
        <v/>
      </c>
      <c r="T449" s="27">
        <f>IF(B449="","",IF(OR(F449="Electric",F449="Plug-in",F449="Hibrid"),1,0))</f>
        <v/>
      </c>
    </row>
    <row r="450">
      <c r="A450" s="18" t="n"/>
      <c r="B450" s="18" t="n"/>
      <c r="C450" s="19" t="n"/>
      <c r="D450" s="19" t="n"/>
      <c r="E450" s="20" t="n"/>
      <c r="F450" s="19" t="n"/>
      <c r="G450" s="21" t="n"/>
      <c r="H450" s="22" t="n"/>
      <c r="I450" s="22" t="n"/>
      <c r="J450" s="22" t="n"/>
      <c r="K450" s="19" t="n"/>
      <c r="L450" s="19" t="n"/>
      <c r="M450" s="19" t="n"/>
      <c r="N450" s="19" t="n"/>
      <c r="O450" s="23">
        <f>IF(J450="","",H450+I450)</f>
        <v/>
      </c>
      <c r="P450" s="23">
        <f>IF(J450="","",J450-O450)</f>
        <v/>
      </c>
      <c r="Q450" s="24">
        <f>IF(OR(J450="",J450=0),"",P450/J450)</f>
        <v/>
      </c>
      <c r="R450" s="25">
        <f>IF(OR(A450="",B450=""),"",B450-A450)</f>
        <v/>
      </c>
      <c r="S450" s="26">
        <f>IF(B450="","",YEAR(B450))</f>
        <v/>
      </c>
      <c r="T450" s="27">
        <f>IF(B450="","",IF(OR(F450="Electric",F450="Plug-in",F450="Hibrid"),1,0))</f>
        <v/>
      </c>
    </row>
    <row r="451">
      <c r="A451" s="18" t="n"/>
      <c r="B451" s="18" t="n"/>
      <c r="C451" s="19" t="n"/>
      <c r="D451" s="19" t="n"/>
      <c r="E451" s="20" t="n"/>
      <c r="F451" s="19" t="n"/>
      <c r="G451" s="21" t="n"/>
      <c r="H451" s="22" t="n"/>
      <c r="I451" s="22" t="n"/>
      <c r="J451" s="22" t="n"/>
      <c r="K451" s="19" t="n"/>
      <c r="L451" s="19" t="n"/>
      <c r="M451" s="19" t="n"/>
      <c r="N451" s="19" t="n"/>
      <c r="O451" s="23">
        <f>IF(J451="","",H451+I451)</f>
        <v/>
      </c>
      <c r="P451" s="23">
        <f>IF(J451="","",J451-O451)</f>
        <v/>
      </c>
      <c r="Q451" s="24">
        <f>IF(OR(J451="",J451=0),"",P451/J451)</f>
        <v/>
      </c>
      <c r="R451" s="25">
        <f>IF(OR(A451="",B451=""),"",B451-A451)</f>
        <v/>
      </c>
      <c r="S451" s="26">
        <f>IF(B451="","",YEAR(B451))</f>
        <v/>
      </c>
      <c r="T451" s="27">
        <f>IF(B451="","",IF(OR(F451="Electric",F451="Plug-in",F451="Hibrid"),1,0))</f>
        <v/>
      </c>
    </row>
    <row r="452">
      <c r="A452" s="18" t="n"/>
      <c r="B452" s="18" t="n"/>
      <c r="C452" s="19" t="n"/>
      <c r="D452" s="19" t="n"/>
      <c r="E452" s="20" t="n"/>
      <c r="F452" s="19" t="n"/>
      <c r="G452" s="21" t="n"/>
      <c r="H452" s="22" t="n"/>
      <c r="I452" s="22" t="n"/>
      <c r="J452" s="22" t="n"/>
      <c r="K452" s="19" t="n"/>
      <c r="L452" s="19" t="n"/>
      <c r="M452" s="19" t="n"/>
      <c r="N452" s="19" t="n"/>
      <c r="O452" s="23">
        <f>IF(J452="","",H452+I452)</f>
        <v/>
      </c>
      <c r="P452" s="23">
        <f>IF(J452="","",J452-O452)</f>
        <v/>
      </c>
      <c r="Q452" s="24">
        <f>IF(OR(J452="",J452=0),"",P452/J452)</f>
        <v/>
      </c>
      <c r="R452" s="25">
        <f>IF(OR(A452="",B452=""),"",B452-A452)</f>
        <v/>
      </c>
      <c r="S452" s="26">
        <f>IF(B452="","",YEAR(B452))</f>
        <v/>
      </c>
      <c r="T452" s="27">
        <f>IF(B452="","",IF(OR(F452="Electric",F452="Plug-in",F452="Hibrid"),1,0))</f>
        <v/>
      </c>
    </row>
    <row r="453">
      <c r="A453" s="18" t="n"/>
      <c r="B453" s="18" t="n"/>
      <c r="C453" s="19" t="n"/>
      <c r="D453" s="19" t="n"/>
      <c r="E453" s="20" t="n"/>
      <c r="F453" s="19" t="n"/>
      <c r="G453" s="21" t="n"/>
      <c r="H453" s="22" t="n"/>
      <c r="I453" s="22" t="n"/>
      <c r="J453" s="22" t="n"/>
      <c r="K453" s="19" t="n"/>
      <c r="L453" s="19" t="n"/>
      <c r="M453" s="19" t="n"/>
      <c r="N453" s="19" t="n"/>
      <c r="O453" s="23">
        <f>IF(J453="","",H453+I453)</f>
        <v/>
      </c>
      <c r="P453" s="23">
        <f>IF(J453="","",J453-O453)</f>
        <v/>
      </c>
      <c r="Q453" s="24">
        <f>IF(OR(J453="",J453=0),"",P453/J453)</f>
        <v/>
      </c>
      <c r="R453" s="25">
        <f>IF(OR(A453="",B453=""),"",B453-A453)</f>
        <v/>
      </c>
      <c r="S453" s="26">
        <f>IF(B453="","",YEAR(B453))</f>
        <v/>
      </c>
      <c r="T453" s="27">
        <f>IF(B453="","",IF(OR(F453="Electric",F453="Plug-in",F453="Hibrid"),1,0))</f>
        <v/>
      </c>
    </row>
    <row r="454">
      <c r="A454" s="18" t="n"/>
      <c r="B454" s="18" t="n"/>
      <c r="C454" s="19" t="n"/>
      <c r="D454" s="19" t="n"/>
      <c r="E454" s="20" t="n"/>
      <c r="F454" s="19" t="n"/>
      <c r="G454" s="21" t="n"/>
      <c r="H454" s="22" t="n"/>
      <c r="I454" s="22" t="n"/>
      <c r="J454" s="22" t="n"/>
      <c r="K454" s="19" t="n"/>
      <c r="L454" s="19" t="n"/>
      <c r="M454" s="19" t="n"/>
      <c r="N454" s="19" t="n"/>
      <c r="O454" s="23">
        <f>IF(J454="","",H454+I454)</f>
        <v/>
      </c>
      <c r="P454" s="23">
        <f>IF(J454="","",J454-O454)</f>
        <v/>
      </c>
      <c r="Q454" s="24">
        <f>IF(OR(J454="",J454=0),"",P454/J454)</f>
        <v/>
      </c>
      <c r="R454" s="25">
        <f>IF(OR(A454="",B454=""),"",B454-A454)</f>
        <v/>
      </c>
      <c r="S454" s="26">
        <f>IF(B454="","",YEAR(B454))</f>
        <v/>
      </c>
      <c r="T454" s="27">
        <f>IF(B454="","",IF(OR(F454="Electric",F454="Plug-in",F454="Hibrid"),1,0))</f>
        <v/>
      </c>
    </row>
    <row r="455">
      <c r="A455" s="18" t="n"/>
      <c r="B455" s="18" t="n"/>
      <c r="C455" s="19" t="n"/>
      <c r="D455" s="19" t="n"/>
      <c r="E455" s="20" t="n"/>
      <c r="F455" s="19" t="n"/>
      <c r="G455" s="21" t="n"/>
      <c r="H455" s="22" t="n"/>
      <c r="I455" s="22" t="n"/>
      <c r="J455" s="22" t="n"/>
      <c r="K455" s="19" t="n"/>
      <c r="L455" s="19" t="n"/>
      <c r="M455" s="19" t="n"/>
      <c r="N455" s="19" t="n"/>
      <c r="O455" s="23">
        <f>IF(J455="","",H455+I455)</f>
        <v/>
      </c>
      <c r="P455" s="23">
        <f>IF(J455="","",J455-O455)</f>
        <v/>
      </c>
      <c r="Q455" s="24">
        <f>IF(OR(J455="",J455=0),"",P455/J455)</f>
        <v/>
      </c>
      <c r="R455" s="25">
        <f>IF(OR(A455="",B455=""),"",B455-A455)</f>
        <v/>
      </c>
      <c r="S455" s="26">
        <f>IF(B455="","",YEAR(B455))</f>
        <v/>
      </c>
      <c r="T455" s="27">
        <f>IF(B455="","",IF(OR(F455="Electric",F455="Plug-in",F455="Hibrid"),1,0))</f>
        <v/>
      </c>
    </row>
    <row r="456">
      <c r="A456" s="18" t="n"/>
      <c r="B456" s="18" t="n"/>
      <c r="C456" s="19" t="n"/>
      <c r="D456" s="19" t="n"/>
      <c r="E456" s="20" t="n"/>
      <c r="F456" s="19" t="n"/>
      <c r="G456" s="21" t="n"/>
      <c r="H456" s="22" t="n"/>
      <c r="I456" s="22" t="n"/>
      <c r="J456" s="22" t="n"/>
      <c r="K456" s="19" t="n"/>
      <c r="L456" s="19" t="n"/>
      <c r="M456" s="19" t="n"/>
      <c r="N456" s="19" t="n"/>
      <c r="O456" s="23">
        <f>IF(J456="","",H456+I456)</f>
        <v/>
      </c>
      <c r="P456" s="23">
        <f>IF(J456="","",J456-O456)</f>
        <v/>
      </c>
      <c r="Q456" s="24">
        <f>IF(OR(J456="",J456=0),"",P456/J456)</f>
        <v/>
      </c>
      <c r="R456" s="25">
        <f>IF(OR(A456="",B456=""),"",B456-A456)</f>
        <v/>
      </c>
      <c r="S456" s="26">
        <f>IF(B456="","",YEAR(B456))</f>
        <v/>
      </c>
      <c r="T456" s="27">
        <f>IF(B456="","",IF(OR(F456="Electric",F456="Plug-in",F456="Hibrid"),1,0))</f>
        <v/>
      </c>
    </row>
    <row r="457">
      <c r="A457" s="18" t="n"/>
      <c r="B457" s="18" t="n"/>
      <c r="C457" s="19" t="n"/>
      <c r="D457" s="19" t="n"/>
      <c r="E457" s="20" t="n"/>
      <c r="F457" s="19" t="n"/>
      <c r="G457" s="21" t="n"/>
      <c r="H457" s="22" t="n"/>
      <c r="I457" s="22" t="n"/>
      <c r="J457" s="22" t="n"/>
      <c r="K457" s="19" t="n"/>
      <c r="L457" s="19" t="n"/>
      <c r="M457" s="19" t="n"/>
      <c r="N457" s="19" t="n"/>
      <c r="O457" s="23">
        <f>IF(J457="","",H457+I457)</f>
        <v/>
      </c>
      <c r="P457" s="23">
        <f>IF(J457="","",J457-O457)</f>
        <v/>
      </c>
      <c r="Q457" s="24">
        <f>IF(OR(J457="",J457=0),"",P457/J457)</f>
        <v/>
      </c>
      <c r="R457" s="25">
        <f>IF(OR(A457="",B457=""),"",B457-A457)</f>
        <v/>
      </c>
      <c r="S457" s="26">
        <f>IF(B457="","",YEAR(B457))</f>
        <v/>
      </c>
      <c r="T457" s="27">
        <f>IF(B457="","",IF(OR(F457="Electric",F457="Plug-in",F457="Hibrid"),1,0))</f>
        <v/>
      </c>
    </row>
    <row r="458">
      <c r="A458" s="18" t="n"/>
      <c r="B458" s="18" t="n"/>
      <c r="C458" s="19" t="n"/>
      <c r="D458" s="19" t="n"/>
      <c r="E458" s="20" t="n"/>
      <c r="F458" s="19" t="n"/>
      <c r="G458" s="21" t="n"/>
      <c r="H458" s="22" t="n"/>
      <c r="I458" s="22" t="n"/>
      <c r="J458" s="22" t="n"/>
      <c r="K458" s="19" t="n"/>
      <c r="L458" s="19" t="n"/>
      <c r="M458" s="19" t="n"/>
      <c r="N458" s="19" t="n"/>
      <c r="O458" s="23">
        <f>IF(J458="","",H458+I458)</f>
        <v/>
      </c>
      <c r="P458" s="23">
        <f>IF(J458="","",J458-O458)</f>
        <v/>
      </c>
      <c r="Q458" s="24">
        <f>IF(OR(J458="",J458=0),"",P458/J458)</f>
        <v/>
      </c>
      <c r="R458" s="25">
        <f>IF(OR(A458="",B458=""),"",B458-A458)</f>
        <v/>
      </c>
      <c r="S458" s="26">
        <f>IF(B458="","",YEAR(B458))</f>
        <v/>
      </c>
      <c r="T458" s="27">
        <f>IF(B458="","",IF(OR(F458="Electric",F458="Plug-in",F458="Hibrid"),1,0))</f>
        <v/>
      </c>
    </row>
    <row r="459">
      <c r="A459" s="18" t="n"/>
      <c r="B459" s="18" t="n"/>
      <c r="C459" s="19" t="n"/>
      <c r="D459" s="19" t="n"/>
      <c r="E459" s="20" t="n"/>
      <c r="F459" s="19" t="n"/>
      <c r="G459" s="21" t="n"/>
      <c r="H459" s="22" t="n"/>
      <c r="I459" s="22" t="n"/>
      <c r="J459" s="22" t="n"/>
      <c r="K459" s="19" t="n"/>
      <c r="L459" s="19" t="n"/>
      <c r="M459" s="19" t="n"/>
      <c r="N459" s="19" t="n"/>
      <c r="O459" s="23">
        <f>IF(J459="","",H459+I459)</f>
        <v/>
      </c>
      <c r="P459" s="23">
        <f>IF(J459="","",J459-O459)</f>
        <v/>
      </c>
      <c r="Q459" s="24">
        <f>IF(OR(J459="",J459=0),"",P459/J459)</f>
        <v/>
      </c>
      <c r="R459" s="25">
        <f>IF(OR(A459="",B459=""),"",B459-A459)</f>
        <v/>
      </c>
      <c r="S459" s="26">
        <f>IF(B459="","",YEAR(B459))</f>
        <v/>
      </c>
      <c r="T459" s="27">
        <f>IF(B459="","",IF(OR(F459="Electric",F459="Plug-in",F459="Hibrid"),1,0))</f>
        <v/>
      </c>
    </row>
    <row r="460">
      <c r="A460" s="18" t="n"/>
      <c r="B460" s="18" t="n"/>
      <c r="C460" s="19" t="n"/>
      <c r="D460" s="19" t="n"/>
      <c r="E460" s="20" t="n"/>
      <c r="F460" s="19" t="n"/>
      <c r="G460" s="21" t="n"/>
      <c r="H460" s="22" t="n"/>
      <c r="I460" s="22" t="n"/>
      <c r="J460" s="22" t="n"/>
      <c r="K460" s="19" t="n"/>
      <c r="L460" s="19" t="n"/>
      <c r="M460" s="19" t="n"/>
      <c r="N460" s="19" t="n"/>
      <c r="O460" s="23">
        <f>IF(J460="","",H460+I460)</f>
        <v/>
      </c>
      <c r="P460" s="23">
        <f>IF(J460="","",J460-O460)</f>
        <v/>
      </c>
      <c r="Q460" s="24">
        <f>IF(OR(J460="",J460=0),"",P460/J460)</f>
        <v/>
      </c>
      <c r="R460" s="25">
        <f>IF(OR(A460="",B460=""),"",B460-A460)</f>
        <v/>
      </c>
      <c r="S460" s="26">
        <f>IF(B460="","",YEAR(B460))</f>
        <v/>
      </c>
      <c r="T460" s="27">
        <f>IF(B460="","",IF(OR(F460="Electric",F460="Plug-in",F460="Hibrid"),1,0))</f>
        <v/>
      </c>
    </row>
    <row r="461">
      <c r="A461" s="18" t="n"/>
      <c r="B461" s="18" t="n"/>
      <c r="C461" s="19" t="n"/>
      <c r="D461" s="19" t="n"/>
      <c r="E461" s="20" t="n"/>
      <c r="F461" s="19" t="n"/>
      <c r="G461" s="21" t="n"/>
      <c r="H461" s="22" t="n"/>
      <c r="I461" s="22" t="n"/>
      <c r="J461" s="22" t="n"/>
      <c r="K461" s="19" t="n"/>
      <c r="L461" s="19" t="n"/>
      <c r="M461" s="19" t="n"/>
      <c r="N461" s="19" t="n"/>
      <c r="O461" s="23">
        <f>IF(J461="","",H461+I461)</f>
        <v/>
      </c>
      <c r="P461" s="23">
        <f>IF(J461="","",J461-O461)</f>
        <v/>
      </c>
      <c r="Q461" s="24">
        <f>IF(OR(J461="",J461=0),"",P461/J461)</f>
        <v/>
      </c>
      <c r="R461" s="25">
        <f>IF(OR(A461="",B461=""),"",B461-A461)</f>
        <v/>
      </c>
      <c r="S461" s="26">
        <f>IF(B461="","",YEAR(B461))</f>
        <v/>
      </c>
      <c r="T461" s="27">
        <f>IF(B461="","",IF(OR(F461="Electric",F461="Plug-in",F461="Hibrid"),1,0))</f>
        <v/>
      </c>
    </row>
    <row r="462">
      <c r="A462" s="18" t="n"/>
      <c r="B462" s="18" t="n"/>
      <c r="C462" s="19" t="n"/>
      <c r="D462" s="19" t="n"/>
      <c r="E462" s="20" t="n"/>
      <c r="F462" s="19" t="n"/>
      <c r="G462" s="21" t="n"/>
      <c r="H462" s="22" t="n"/>
      <c r="I462" s="22" t="n"/>
      <c r="J462" s="22" t="n"/>
      <c r="K462" s="19" t="n"/>
      <c r="L462" s="19" t="n"/>
      <c r="M462" s="19" t="n"/>
      <c r="N462" s="19" t="n"/>
      <c r="O462" s="23">
        <f>IF(J462="","",H462+I462)</f>
        <v/>
      </c>
      <c r="P462" s="23">
        <f>IF(J462="","",J462-O462)</f>
        <v/>
      </c>
      <c r="Q462" s="24">
        <f>IF(OR(J462="",J462=0),"",P462/J462)</f>
        <v/>
      </c>
      <c r="R462" s="25">
        <f>IF(OR(A462="",B462=""),"",B462-A462)</f>
        <v/>
      </c>
      <c r="S462" s="26">
        <f>IF(B462="","",YEAR(B462))</f>
        <v/>
      </c>
      <c r="T462" s="27">
        <f>IF(B462="","",IF(OR(F462="Electric",F462="Plug-in",F462="Hibrid"),1,0))</f>
        <v/>
      </c>
    </row>
    <row r="463">
      <c r="A463" s="18" t="n"/>
      <c r="B463" s="18" t="n"/>
      <c r="C463" s="19" t="n"/>
      <c r="D463" s="19" t="n"/>
      <c r="E463" s="20" t="n"/>
      <c r="F463" s="19" t="n"/>
      <c r="G463" s="21" t="n"/>
      <c r="H463" s="22" t="n"/>
      <c r="I463" s="22" t="n"/>
      <c r="J463" s="22" t="n"/>
      <c r="K463" s="19" t="n"/>
      <c r="L463" s="19" t="n"/>
      <c r="M463" s="19" t="n"/>
      <c r="N463" s="19" t="n"/>
      <c r="O463" s="23">
        <f>IF(J463="","",H463+I463)</f>
        <v/>
      </c>
      <c r="P463" s="23">
        <f>IF(J463="","",J463-O463)</f>
        <v/>
      </c>
      <c r="Q463" s="24">
        <f>IF(OR(J463="",J463=0),"",P463/J463)</f>
        <v/>
      </c>
      <c r="R463" s="25">
        <f>IF(OR(A463="",B463=""),"",B463-A463)</f>
        <v/>
      </c>
      <c r="S463" s="26">
        <f>IF(B463="","",YEAR(B463))</f>
        <v/>
      </c>
      <c r="T463" s="27">
        <f>IF(B463="","",IF(OR(F463="Electric",F463="Plug-in",F463="Hibrid"),1,0))</f>
        <v/>
      </c>
    </row>
    <row r="464">
      <c r="A464" s="18" t="n"/>
      <c r="B464" s="18" t="n"/>
      <c r="C464" s="19" t="n"/>
      <c r="D464" s="19" t="n"/>
      <c r="E464" s="20" t="n"/>
      <c r="F464" s="19" t="n"/>
      <c r="G464" s="21" t="n"/>
      <c r="H464" s="22" t="n"/>
      <c r="I464" s="22" t="n"/>
      <c r="J464" s="22" t="n"/>
      <c r="K464" s="19" t="n"/>
      <c r="L464" s="19" t="n"/>
      <c r="M464" s="19" t="n"/>
      <c r="N464" s="19" t="n"/>
      <c r="O464" s="23">
        <f>IF(J464="","",H464+I464)</f>
        <v/>
      </c>
      <c r="P464" s="23">
        <f>IF(J464="","",J464-O464)</f>
        <v/>
      </c>
      <c r="Q464" s="24">
        <f>IF(OR(J464="",J464=0),"",P464/J464)</f>
        <v/>
      </c>
      <c r="R464" s="25">
        <f>IF(OR(A464="",B464=""),"",B464-A464)</f>
        <v/>
      </c>
      <c r="S464" s="26">
        <f>IF(B464="","",YEAR(B464))</f>
        <v/>
      </c>
      <c r="T464" s="27">
        <f>IF(B464="","",IF(OR(F464="Electric",F464="Plug-in",F464="Hibrid"),1,0))</f>
        <v/>
      </c>
    </row>
    <row r="465">
      <c r="A465" s="18" t="n"/>
      <c r="B465" s="18" t="n"/>
      <c r="C465" s="19" t="n"/>
      <c r="D465" s="19" t="n"/>
      <c r="E465" s="20" t="n"/>
      <c r="F465" s="19" t="n"/>
      <c r="G465" s="21" t="n"/>
      <c r="H465" s="22" t="n"/>
      <c r="I465" s="22" t="n"/>
      <c r="J465" s="22" t="n"/>
      <c r="K465" s="19" t="n"/>
      <c r="L465" s="19" t="n"/>
      <c r="M465" s="19" t="n"/>
      <c r="N465" s="19" t="n"/>
      <c r="O465" s="23">
        <f>IF(J465="","",H465+I465)</f>
        <v/>
      </c>
      <c r="P465" s="23">
        <f>IF(J465="","",J465-O465)</f>
        <v/>
      </c>
      <c r="Q465" s="24">
        <f>IF(OR(J465="",J465=0),"",P465/J465)</f>
        <v/>
      </c>
      <c r="R465" s="25">
        <f>IF(OR(A465="",B465=""),"",B465-A465)</f>
        <v/>
      </c>
      <c r="S465" s="26">
        <f>IF(B465="","",YEAR(B465))</f>
        <v/>
      </c>
      <c r="T465" s="27">
        <f>IF(B465="","",IF(OR(F465="Electric",F465="Plug-in",F465="Hibrid"),1,0))</f>
        <v/>
      </c>
    </row>
    <row r="466">
      <c r="A466" s="18" t="n"/>
      <c r="B466" s="18" t="n"/>
      <c r="C466" s="19" t="n"/>
      <c r="D466" s="19" t="n"/>
      <c r="E466" s="20" t="n"/>
      <c r="F466" s="19" t="n"/>
      <c r="G466" s="21" t="n"/>
      <c r="H466" s="22" t="n"/>
      <c r="I466" s="22" t="n"/>
      <c r="J466" s="22" t="n"/>
      <c r="K466" s="19" t="n"/>
      <c r="L466" s="19" t="n"/>
      <c r="M466" s="19" t="n"/>
      <c r="N466" s="19" t="n"/>
      <c r="O466" s="23">
        <f>IF(J466="","",H466+I466)</f>
        <v/>
      </c>
      <c r="P466" s="23">
        <f>IF(J466="","",J466-O466)</f>
        <v/>
      </c>
      <c r="Q466" s="24">
        <f>IF(OR(J466="",J466=0),"",P466/J466)</f>
        <v/>
      </c>
      <c r="R466" s="25">
        <f>IF(OR(A466="",B466=""),"",B466-A466)</f>
        <v/>
      </c>
      <c r="S466" s="26">
        <f>IF(B466="","",YEAR(B466))</f>
        <v/>
      </c>
      <c r="T466" s="27">
        <f>IF(B466="","",IF(OR(F466="Electric",F466="Plug-in",F466="Hibrid"),1,0))</f>
        <v/>
      </c>
    </row>
    <row r="467">
      <c r="A467" s="18" t="n"/>
      <c r="B467" s="18" t="n"/>
      <c r="C467" s="19" t="n"/>
      <c r="D467" s="19" t="n"/>
      <c r="E467" s="20" t="n"/>
      <c r="F467" s="19" t="n"/>
      <c r="G467" s="21" t="n"/>
      <c r="H467" s="22" t="n"/>
      <c r="I467" s="22" t="n"/>
      <c r="J467" s="22" t="n"/>
      <c r="K467" s="19" t="n"/>
      <c r="L467" s="19" t="n"/>
      <c r="M467" s="19" t="n"/>
      <c r="N467" s="19" t="n"/>
      <c r="O467" s="23">
        <f>IF(J467="","",H467+I467)</f>
        <v/>
      </c>
      <c r="P467" s="23">
        <f>IF(J467="","",J467-O467)</f>
        <v/>
      </c>
      <c r="Q467" s="24">
        <f>IF(OR(J467="",J467=0),"",P467/J467)</f>
        <v/>
      </c>
      <c r="R467" s="25">
        <f>IF(OR(A467="",B467=""),"",B467-A467)</f>
        <v/>
      </c>
      <c r="S467" s="26">
        <f>IF(B467="","",YEAR(B467))</f>
        <v/>
      </c>
      <c r="T467" s="27">
        <f>IF(B467="","",IF(OR(F467="Electric",F467="Plug-in",F467="Hibrid"),1,0))</f>
        <v/>
      </c>
    </row>
    <row r="468">
      <c r="A468" s="18" t="n"/>
      <c r="B468" s="18" t="n"/>
      <c r="C468" s="19" t="n"/>
      <c r="D468" s="19" t="n"/>
      <c r="E468" s="20" t="n"/>
      <c r="F468" s="19" t="n"/>
      <c r="G468" s="21" t="n"/>
      <c r="H468" s="22" t="n"/>
      <c r="I468" s="22" t="n"/>
      <c r="J468" s="22" t="n"/>
      <c r="K468" s="19" t="n"/>
      <c r="L468" s="19" t="n"/>
      <c r="M468" s="19" t="n"/>
      <c r="N468" s="19" t="n"/>
      <c r="O468" s="23">
        <f>IF(J468="","",H468+I468)</f>
        <v/>
      </c>
      <c r="P468" s="23">
        <f>IF(J468="","",J468-O468)</f>
        <v/>
      </c>
      <c r="Q468" s="24">
        <f>IF(OR(J468="",J468=0),"",P468/J468)</f>
        <v/>
      </c>
      <c r="R468" s="25">
        <f>IF(OR(A468="",B468=""),"",B468-A468)</f>
        <v/>
      </c>
      <c r="S468" s="26">
        <f>IF(B468="","",YEAR(B468))</f>
        <v/>
      </c>
      <c r="T468" s="27">
        <f>IF(B468="","",IF(OR(F468="Electric",F468="Plug-in",F468="Hibrid"),1,0))</f>
        <v/>
      </c>
    </row>
    <row r="469">
      <c r="A469" s="18" t="n"/>
      <c r="B469" s="18" t="n"/>
      <c r="C469" s="19" t="n"/>
      <c r="D469" s="19" t="n"/>
      <c r="E469" s="20" t="n"/>
      <c r="F469" s="19" t="n"/>
      <c r="G469" s="21" t="n"/>
      <c r="H469" s="22" t="n"/>
      <c r="I469" s="22" t="n"/>
      <c r="J469" s="22" t="n"/>
      <c r="K469" s="19" t="n"/>
      <c r="L469" s="19" t="n"/>
      <c r="M469" s="19" t="n"/>
      <c r="N469" s="19" t="n"/>
      <c r="O469" s="23">
        <f>IF(J469="","",H469+I469)</f>
        <v/>
      </c>
      <c r="P469" s="23">
        <f>IF(J469="","",J469-O469)</f>
        <v/>
      </c>
      <c r="Q469" s="24">
        <f>IF(OR(J469="",J469=0),"",P469/J469)</f>
        <v/>
      </c>
      <c r="R469" s="25">
        <f>IF(OR(A469="",B469=""),"",B469-A469)</f>
        <v/>
      </c>
      <c r="S469" s="26">
        <f>IF(B469="","",YEAR(B469))</f>
        <v/>
      </c>
      <c r="T469" s="27">
        <f>IF(B469="","",IF(OR(F469="Electric",F469="Plug-in",F469="Hibrid"),1,0))</f>
        <v/>
      </c>
    </row>
    <row r="470">
      <c r="A470" s="18" t="n"/>
      <c r="B470" s="18" t="n"/>
      <c r="C470" s="19" t="n"/>
      <c r="D470" s="19" t="n"/>
      <c r="E470" s="20" t="n"/>
      <c r="F470" s="19" t="n"/>
      <c r="G470" s="21" t="n"/>
      <c r="H470" s="22" t="n"/>
      <c r="I470" s="22" t="n"/>
      <c r="J470" s="22" t="n"/>
      <c r="K470" s="19" t="n"/>
      <c r="L470" s="19" t="n"/>
      <c r="M470" s="19" t="n"/>
      <c r="N470" s="19" t="n"/>
      <c r="O470" s="23">
        <f>IF(J470="","",H470+I470)</f>
        <v/>
      </c>
      <c r="P470" s="23">
        <f>IF(J470="","",J470-O470)</f>
        <v/>
      </c>
      <c r="Q470" s="24">
        <f>IF(OR(J470="",J470=0),"",P470/J470)</f>
        <v/>
      </c>
      <c r="R470" s="25">
        <f>IF(OR(A470="",B470=""),"",B470-A470)</f>
        <v/>
      </c>
      <c r="S470" s="26">
        <f>IF(B470="","",YEAR(B470))</f>
        <v/>
      </c>
      <c r="T470" s="27">
        <f>IF(B470="","",IF(OR(F470="Electric",F470="Plug-in",F470="Hibrid"),1,0))</f>
        <v/>
      </c>
    </row>
    <row r="471">
      <c r="A471" s="18" t="n"/>
      <c r="B471" s="18" t="n"/>
      <c r="C471" s="19" t="n"/>
      <c r="D471" s="19" t="n"/>
      <c r="E471" s="20" t="n"/>
      <c r="F471" s="19" t="n"/>
      <c r="G471" s="21" t="n"/>
      <c r="H471" s="22" t="n"/>
      <c r="I471" s="22" t="n"/>
      <c r="J471" s="22" t="n"/>
      <c r="K471" s="19" t="n"/>
      <c r="L471" s="19" t="n"/>
      <c r="M471" s="19" t="n"/>
      <c r="N471" s="19" t="n"/>
      <c r="O471" s="23">
        <f>IF(J471="","",H471+I471)</f>
        <v/>
      </c>
      <c r="P471" s="23">
        <f>IF(J471="","",J471-O471)</f>
        <v/>
      </c>
      <c r="Q471" s="24">
        <f>IF(OR(J471="",J471=0),"",P471/J471)</f>
        <v/>
      </c>
      <c r="R471" s="25">
        <f>IF(OR(A471="",B471=""),"",B471-A471)</f>
        <v/>
      </c>
      <c r="S471" s="26">
        <f>IF(B471="","",YEAR(B471))</f>
        <v/>
      </c>
      <c r="T471" s="27">
        <f>IF(B471="","",IF(OR(F471="Electric",F471="Plug-in",F471="Hibrid"),1,0))</f>
        <v/>
      </c>
    </row>
    <row r="472">
      <c r="A472" s="18" t="n"/>
      <c r="B472" s="18" t="n"/>
      <c r="C472" s="19" t="n"/>
      <c r="D472" s="19" t="n"/>
      <c r="E472" s="20" t="n"/>
      <c r="F472" s="19" t="n"/>
      <c r="G472" s="21" t="n"/>
      <c r="H472" s="22" t="n"/>
      <c r="I472" s="22" t="n"/>
      <c r="J472" s="22" t="n"/>
      <c r="K472" s="19" t="n"/>
      <c r="L472" s="19" t="n"/>
      <c r="M472" s="19" t="n"/>
      <c r="N472" s="19" t="n"/>
      <c r="O472" s="23">
        <f>IF(J472="","",H472+I472)</f>
        <v/>
      </c>
      <c r="P472" s="23">
        <f>IF(J472="","",J472-O472)</f>
        <v/>
      </c>
      <c r="Q472" s="24">
        <f>IF(OR(J472="",J472=0),"",P472/J472)</f>
        <v/>
      </c>
      <c r="R472" s="25">
        <f>IF(OR(A472="",B472=""),"",B472-A472)</f>
        <v/>
      </c>
      <c r="S472" s="26">
        <f>IF(B472="","",YEAR(B472))</f>
        <v/>
      </c>
      <c r="T472" s="27">
        <f>IF(B472="","",IF(OR(F472="Electric",F472="Plug-in",F472="Hibrid"),1,0))</f>
        <v/>
      </c>
    </row>
    <row r="473">
      <c r="A473" s="18" t="n"/>
      <c r="B473" s="18" t="n"/>
      <c r="C473" s="19" t="n"/>
      <c r="D473" s="19" t="n"/>
      <c r="E473" s="20" t="n"/>
      <c r="F473" s="19" t="n"/>
      <c r="G473" s="21" t="n"/>
      <c r="H473" s="22" t="n"/>
      <c r="I473" s="22" t="n"/>
      <c r="J473" s="22" t="n"/>
      <c r="K473" s="19" t="n"/>
      <c r="L473" s="19" t="n"/>
      <c r="M473" s="19" t="n"/>
      <c r="N473" s="19" t="n"/>
      <c r="O473" s="23">
        <f>IF(J473="","",H473+I473)</f>
        <v/>
      </c>
      <c r="P473" s="23">
        <f>IF(J473="","",J473-O473)</f>
        <v/>
      </c>
      <c r="Q473" s="24">
        <f>IF(OR(J473="",J473=0),"",P473/J473)</f>
        <v/>
      </c>
      <c r="R473" s="25">
        <f>IF(OR(A473="",B473=""),"",B473-A473)</f>
        <v/>
      </c>
      <c r="S473" s="26">
        <f>IF(B473="","",YEAR(B473))</f>
        <v/>
      </c>
      <c r="T473" s="27">
        <f>IF(B473="","",IF(OR(F473="Electric",F473="Plug-in",F473="Hibrid"),1,0))</f>
        <v/>
      </c>
    </row>
    <row r="474">
      <c r="A474" s="18" t="n"/>
      <c r="B474" s="18" t="n"/>
      <c r="C474" s="19" t="n"/>
      <c r="D474" s="19" t="n"/>
      <c r="E474" s="20" t="n"/>
      <c r="F474" s="19" t="n"/>
      <c r="G474" s="21" t="n"/>
      <c r="H474" s="22" t="n"/>
      <c r="I474" s="22" t="n"/>
      <c r="J474" s="22" t="n"/>
      <c r="K474" s="19" t="n"/>
      <c r="L474" s="19" t="n"/>
      <c r="M474" s="19" t="n"/>
      <c r="N474" s="19" t="n"/>
      <c r="O474" s="23">
        <f>IF(J474="","",H474+I474)</f>
        <v/>
      </c>
      <c r="P474" s="23">
        <f>IF(J474="","",J474-O474)</f>
        <v/>
      </c>
      <c r="Q474" s="24">
        <f>IF(OR(J474="",J474=0),"",P474/J474)</f>
        <v/>
      </c>
      <c r="R474" s="25">
        <f>IF(OR(A474="",B474=""),"",B474-A474)</f>
        <v/>
      </c>
      <c r="S474" s="26">
        <f>IF(B474="","",YEAR(B474))</f>
        <v/>
      </c>
      <c r="T474" s="27">
        <f>IF(B474="","",IF(OR(F474="Electric",F474="Plug-in",F474="Hibrid"),1,0))</f>
        <v/>
      </c>
    </row>
    <row r="475">
      <c r="A475" s="18" t="n"/>
      <c r="B475" s="18" t="n"/>
      <c r="C475" s="19" t="n"/>
      <c r="D475" s="19" t="n"/>
      <c r="E475" s="20" t="n"/>
      <c r="F475" s="19" t="n"/>
      <c r="G475" s="21" t="n"/>
      <c r="H475" s="22" t="n"/>
      <c r="I475" s="22" t="n"/>
      <c r="J475" s="22" t="n"/>
      <c r="K475" s="19" t="n"/>
      <c r="L475" s="19" t="n"/>
      <c r="M475" s="19" t="n"/>
      <c r="N475" s="19" t="n"/>
      <c r="O475" s="23">
        <f>IF(J475="","",H475+I475)</f>
        <v/>
      </c>
      <c r="P475" s="23">
        <f>IF(J475="","",J475-O475)</f>
        <v/>
      </c>
      <c r="Q475" s="24">
        <f>IF(OR(J475="",J475=0),"",P475/J475)</f>
        <v/>
      </c>
      <c r="R475" s="25">
        <f>IF(OR(A475="",B475=""),"",B475-A475)</f>
        <v/>
      </c>
      <c r="S475" s="26">
        <f>IF(B475="","",YEAR(B475))</f>
        <v/>
      </c>
      <c r="T475" s="27">
        <f>IF(B475="","",IF(OR(F475="Electric",F475="Plug-in",F475="Hibrid"),1,0))</f>
        <v/>
      </c>
    </row>
    <row r="476">
      <c r="A476" s="18" t="n"/>
      <c r="B476" s="18" t="n"/>
      <c r="C476" s="19" t="n"/>
      <c r="D476" s="19" t="n"/>
      <c r="E476" s="20" t="n"/>
      <c r="F476" s="19" t="n"/>
      <c r="G476" s="21" t="n"/>
      <c r="H476" s="22" t="n"/>
      <c r="I476" s="22" t="n"/>
      <c r="J476" s="22" t="n"/>
      <c r="K476" s="19" t="n"/>
      <c r="L476" s="19" t="n"/>
      <c r="M476" s="19" t="n"/>
      <c r="N476" s="19" t="n"/>
      <c r="O476" s="23">
        <f>IF(J476="","",H476+I476)</f>
        <v/>
      </c>
      <c r="P476" s="23">
        <f>IF(J476="","",J476-O476)</f>
        <v/>
      </c>
      <c r="Q476" s="24">
        <f>IF(OR(J476="",J476=0),"",P476/J476)</f>
        <v/>
      </c>
      <c r="R476" s="25">
        <f>IF(OR(A476="",B476=""),"",B476-A476)</f>
        <v/>
      </c>
      <c r="S476" s="26">
        <f>IF(B476="","",YEAR(B476))</f>
        <v/>
      </c>
      <c r="T476" s="27">
        <f>IF(B476="","",IF(OR(F476="Electric",F476="Plug-in",F476="Hibrid"),1,0))</f>
        <v/>
      </c>
    </row>
    <row r="477">
      <c r="A477" s="18" t="n"/>
      <c r="B477" s="18" t="n"/>
      <c r="C477" s="19" t="n"/>
      <c r="D477" s="19" t="n"/>
      <c r="E477" s="20" t="n"/>
      <c r="F477" s="19" t="n"/>
      <c r="G477" s="21" t="n"/>
      <c r="H477" s="22" t="n"/>
      <c r="I477" s="22" t="n"/>
      <c r="J477" s="22" t="n"/>
      <c r="K477" s="19" t="n"/>
      <c r="L477" s="19" t="n"/>
      <c r="M477" s="19" t="n"/>
      <c r="N477" s="19" t="n"/>
      <c r="O477" s="23">
        <f>IF(J477="","",H477+I477)</f>
        <v/>
      </c>
      <c r="P477" s="23">
        <f>IF(J477="","",J477-O477)</f>
        <v/>
      </c>
      <c r="Q477" s="24">
        <f>IF(OR(J477="",J477=0),"",P477/J477)</f>
        <v/>
      </c>
      <c r="R477" s="25">
        <f>IF(OR(A477="",B477=""),"",B477-A477)</f>
        <v/>
      </c>
      <c r="S477" s="26">
        <f>IF(B477="","",YEAR(B477))</f>
        <v/>
      </c>
      <c r="T477" s="27">
        <f>IF(B477="","",IF(OR(F477="Electric",F477="Plug-in",F477="Hibrid"),1,0))</f>
        <v/>
      </c>
    </row>
    <row r="478">
      <c r="A478" s="18" t="n"/>
      <c r="B478" s="18" t="n"/>
      <c r="C478" s="19" t="n"/>
      <c r="D478" s="19" t="n"/>
      <c r="E478" s="20" t="n"/>
      <c r="F478" s="19" t="n"/>
      <c r="G478" s="21" t="n"/>
      <c r="H478" s="22" t="n"/>
      <c r="I478" s="22" t="n"/>
      <c r="J478" s="22" t="n"/>
      <c r="K478" s="19" t="n"/>
      <c r="L478" s="19" t="n"/>
      <c r="M478" s="19" t="n"/>
      <c r="N478" s="19" t="n"/>
      <c r="O478" s="23">
        <f>IF(J478="","",H478+I478)</f>
        <v/>
      </c>
      <c r="P478" s="23">
        <f>IF(J478="","",J478-O478)</f>
        <v/>
      </c>
      <c r="Q478" s="24">
        <f>IF(OR(J478="",J478=0),"",P478/J478)</f>
        <v/>
      </c>
      <c r="R478" s="25">
        <f>IF(OR(A478="",B478=""),"",B478-A478)</f>
        <v/>
      </c>
      <c r="S478" s="26">
        <f>IF(B478="","",YEAR(B478))</f>
        <v/>
      </c>
      <c r="T478" s="27">
        <f>IF(B478="","",IF(OR(F478="Electric",F478="Plug-in",F478="Hibrid"),1,0))</f>
        <v/>
      </c>
    </row>
    <row r="479">
      <c r="A479" s="18" t="n"/>
      <c r="B479" s="18" t="n"/>
      <c r="C479" s="19" t="n"/>
      <c r="D479" s="19" t="n"/>
      <c r="E479" s="20" t="n"/>
      <c r="F479" s="19" t="n"/>
      <c r="G479" s="21" t="n"/>
      <c r="H479" s="22" t="n"/>
      <c r="I479" s="22" t="n"/>
      <c r="J479" s="22" t="n"/>
      <c r="K479" s="19" t="n"/>
      <c r="L479" s="19" t="n"/>
      <c r="M479" s="19" t="n"/>
      <c r="N479" s="19" t="n"/>
      <c r="O479" s="23">
        <f>IF(J479="","",H479+I479)</f>
        <v/>
      </c>
      <c r="P479" s="23">
        <f>IF(J479="","",J479-O479)</f>
        <v/>
      </c>
      <c r="Q479" s="24">
        <f>IF(OR(J479="",J479=0),"",P479/J479)</f>
        <v/>
      </c>
      <c r="R479" s="25">
        <f>IF(OR(A479="",B479=""),"",B479-A479)</f>
        <v/>
      </c>
      <c r="S479" s="26">
        <f>IF(B479="","",YEAR(B479))</f>
        <v/>
      </c>
      <c r="T479" s="27">
        <f>IF(B479="","",IF(OR(F479="Electric",F479="Plug-in",F479="Hibrid"),1,0))</f>
        <v/>
      </c>
    </row>
    <row r="480">
      <c r="A480" s="18" t="n"/>
      <c r="B480" s="18" t="n"/>
      <c r="C480" s="19" t="n"/>
      <c r="D480" s="19" t="n"/>
      <c r="E480" s="20" t="n"/>
      <c r="F480" s="19" t="n"/>
      <c r="G480" s="21" t="n"/>
      <c r="H480" s="22" t="n"/>
      <c r="I480" s="22" t="n"/>
      <c r="J480" s="22" t="n"/>
      <c r="K480" s="19" t="n"/>
      <c r="L480" s="19" t="n"/>
      <c r="M480" s="19" t="n"/>
      <c r="N480" s="19" t="n"/>
      <c r="O480" s="23">
        <f>IF(J480="","",H480+I480)</f>
        <v/>
      </c>
      <c r="P480" s="23">
        <f>IF(J480="","",J480-O480)</f>
        <v/>
      </c>
      <c r="Q480" s="24">
        <f>IF(OR(J480="",J480=0),"",P480/J480)</f>
        <v/>
      </c>
      <c r="R480" s="25">
        <f>IF(OR(A480="",B480=""),"",B480-A480)</f>
        <v/>
      </c>
      <c r="S480" s="26">
        <f>IF(B480="","",YEAR(B480))</f>
        <v/>
      </c>
      <c r="T480" s="27">
        <f>IF(B480="","",IF(OR(F480="Electric",F480="Plug-in",F480="Hibrid"),1,0))</f>
        <v/>
      </c>
    </row>
    <row r="481">
      <c r="A481" s="18" t="n"/>
      <c r="B481" s="18" t="n"/>
      <c r="C481" s="19" t="n"/>
      <c r="D481" s="19" t="n"/>
      <c r="E481" s="20" t="n"/>
      <c r="F481" s="19" t="n"/>
      <c r="G481" s="21" t="n"/>
      <c r="H481" s="22" t="n"/>
      <c r="I481" s="22" t="n"/>
      <c r="J481" s="22" t="n"/>
      <c r="K481" s="19" t="n"/>
      <c r="L481" s="19" t="n"/>
      <c r="M481" s="19" t="n"/>
      <c r="N481" s="19" t="n"/>
      <c r="O481" s="23">
        <f>IF(J481="","",H481+I481)</f>
        <v/>
      </c>
      <c r="P481" s="23">
        <f>IF(J481="","",J481-O481)</f>
        <v/>
      </c>
      <c r="Q481" s="24">
        <f>IF(OR(J481="",J481=0),"",P481/J481)</f>
        <v/>
      </c>
      <c r="R481" s="25">
        <f>IF(OR(A481="",B481=""),"",B481-A481)</f>
        <v/>
      </c>
      <c r="S481" s="26">
        <f>IF(B481="","",YEAR(B481))</f>
        <v/>
      </c>
      <c r="T481" s="27">
        <f>IF(B481="","",IF(OR(F481="Electric",F481="Plug-in",F481="Hibrid"),1,0))</f>
        <v/>
      </c>
    </row>
    <row r="482">
      <c r="A482" s="18" t="n"/>
      <c r="B482" s="18" t="n"/>
      <c r="C482" s="19" t="n"/>
      <c r="D482" s="19" t="n"/>
      <c r="E482" s="20" t="n"/>
      <c r="F482" s="19" t="n"/>
      <c r="G482" s="21" t="n"/>
      <c r="H482" s="22" t="n"/>
      <c r="I482" s="22" t="n"/>
      <c r="J482" s="22" t="n"/>
      <c r="K482" s="19" t="n"/>
      <c r="L482" s="19" t="n"/>
      <c r="M482" s="19" t="n"/>
      <c r="N482" s="19" t="n"/>
      <c r="O482" s="23">
        <f>IF(J482="","",H482+I482)</f>
        <v/>
      </c>
      <c r="P482" s="23">
        <f>IF(J482="","",J482-O482)</f>
        <v/>
      </c>
      <c r="Q482" s="24">
        <f>IF(OR(J482="",J482=0),"",P482/J482)</f>
        <v/>
      </c>
      <c r="R482" s="25">
        <f>IF(OR(A482="",B482=""),"",B482-A482)</f>
        <v/>
      </c>
      <c r="S482" s="26">
        <f>IF(B482="","",YEAR(B482))</f>
        <v/>
      </c>
      <c r="T482" s="27">
        <f>IF(B482="","",IF(OR(F482="Electric",F482="Plug-in",F482="Hibrid"),1,0))</f>
        <v/>
      </c>
    </row>
    <row r="483">
      <c r="A483" s="18" t="n"/>
      <c r="B483" s="18" t="n"/>
      <c r="C483" s="19" t="n"/>
      <c r="D483" s="19" t="n"/>
      <c r="E483" s="20" t="n"/>
      <c r="F483" s="19" t="n"/>
      <c r="G483" s="21" t="n"/>
      <c r="H483" s="22" t="n"/>
      <c r="I483" s="22" t="n"/>
      <c r="J483" s="22" t="n"/>
      <c r="K483" s="19" t="n"/>
      <c r="L483" s="19" t="n"/>
      <c r="M483" s="19" t="n"/>
      <c r="N483" s="19" t="n"/>
      <c r="O483" s="23">
        <f>IF(J483="","",H483+I483)</f>
        <v/>
      </c>
      <c r="P483" s="23">
        <f>IF(J483="","",J483-O483)</f>
        <v/>
      </c>
      <c r="Q483" s="24">
        <f>IF(OR(J483="",J483=0),"",P483/J483)</f>
        <v/>
      </c>
      <c r="R483" s="25">
        <f>IF(OR(A483="",B483=""),"",B483-A483)</f>
        <v/>
      </c>
      <c r="S483" s="26">
        <f>IF(B483="","",YEAR(B483))</f>
        <v/>
      </c>
      <c r="T483" s="27">
        <f>IF(B483="","",IF(OR(F483="Electric",F483="Plug-in",F483="Hibrid"),1,0))</f>
        <v/>
      </c>
    </row>
    <row r="484">
      <c r="A484" s="18" t="n"/>
      <c r="B484" s="18" t="n"/>
      <c r="C484" s="19" t="n"/>
      <c r="D484" s="19" t="n"/>
      <c r="E484" s="20" t="n"/>
      <c r="F484" s="19" t="n"/>
      <c r="G484" s="21" t="n"/>
      <c r="H484" s="22" t="n"/>
      <c r="I484" s="22" t="n"/>
      <c r="J484" s="22" t="n"/>
      <c r="K484" s="19" t="n"/>
      <c r="L484" s="19" t="n"/>
      <c r="M484" s="19" t="n"/>
      <c r="N484" s="19" t="n"/>
      <c r="O484" s="23">
        <f>IF(J484="","",H484+I484)</f>
        <v/>
      </c>
      <c r="P484" s="23">
        <f>IF(J484="","",J484-O484)</f>
        <v/>
      </c>
      <c r="Q484" s="24">
        <f>IF(OR(J484="",J484=0),"",P484/J484)</f>
        <v/>
      </c>
      <c r="R484" s="25">
        <f>IF(OR(A484="",B484=""),"",B484-A484)</f>
        <v/>
      </c>
      <c r="S484" s="26">
        <f>IF(B484="","",YEAR(B484))</f>
        <v/>
      </c>
      <c r="T484" s="27">
        <f>IF(B484="","",IF(OR(F484="Electric",F484="Plug-in",F484="Hibrid"),1,0))</f>
        <v/>
      </c>
    </row>
    <row r="485">
      <c r="A485" s="18" t="n"/>
      <c r="B485" s="18" t="n"/>
      <c r="C485" s="19" t="n"/>
      <c r="D485" s="19" t="n"/>
      <c r="E485" s="20" t="n"/>
      <c r="F485" s="19" t="n"/>
      <c r="G485" s="21" t="n"/>
      <c r="H485" s="22" t="n"/>
      <c r="I485" s="22" t="n"/>
      <c r="J485" s="22" t="n"/>
      <c r="K485" s="19" t="n"/>
      <c r="L485" s="19" t="n"/>
      <c r="M485" s="19" t="n"/>
      <c r="N485" s="19" t="n"/>
      <c r="O485" s="23">
        <f>IF(J485="","",H485+I485)</f>
        <v/>
      </c>
      <c r="P485" s="23">
        <f>IF(J485="","",J485-O485)</f>
        <v/>
      </c>
      <c r="Q485" s="24">
        <f>IF(OR(J485="",J485=0),"",P485/J485)</f>
        <v/>
      </c>
      <c r="R485" s="25">
        <f>IF(OR(A485="",B485=""),"",B485-A485)</f>
        <v/>
      </c>
      <c r="S485" s="26">
        <f>IF(B485="","",YEAR(B485))</f>
        <v/>
      </c>
      <c r="T485" s="27">
        <f>IF(B485="","",IF(OR(F485="Electric",F485="Plug-in",F485="Hibrid"),1,0))</f>
        <v/>
      </c>
    </row>
    <row r="486">
      <c r="A486" s="18" t="n"/>
      <c r="B486" s="18" t="n"/>
      <c r="C486" s="19" t="n"/>
      <c r="D486" s="19" t="n"/>
      <c r="E486" s="20" t="n"/>
      <c r="F486" s="19" t="n"/>
      <c r="G486" s="21" t="n"/>
      <c r="H486" s="22" t="n"/>
      <c r="I486" s="22" t="n"/>
      <c r="J486" s="22" t="n"/>
      <c r="K486" s="19" t="n"/>
      <c r="L486" s="19" t="n"/>
      <c r="M486" s="19" t="n"/>
      <c r="N486" s="19" t="n"/>
      <c r="O486" s="23">
        <f>IF(J486="","",H486+I486)</f>
        <v/>
      </c>
      <c r="P486" s="23">
        <f>IF(J486="","",J486-O486)</f>
        <v/>
      </c>
      <c r="Q486" s="24">
        <f>IF(OR(J486="",J486=0),"",P486/J486)</f>
        <v/>
      </c>
      <c r="R486" s="25">
        <f>IF(OR(A486="",B486=""),"",B486-A486)</f>
        <v/>
      </c>
      <c r="S486" s="26">
        <f>IF(B486="","",YEAR(B486))</f>
        <v/>
      </c>
      <c r="T486" s="27">
        <f>IF(B486="","",IF(OR(F486="Electric",F486="Plug-in",F486="Hibrid"),1,0))</f>
        <v/>
      </c>
    </row>
    <row r="487">
      <c r="A487" s="18" t="n"/>
      <c r="B487" s="18" t="n"/>
      <c r="C487" s="19" t="n"/>
      <c r="D487" s="19" t="n"/>
      <c r="E487" s="20" t="n"/>
      <c r="F487" s="19" t="n"/>
      <c r="G487" s="21" t="n"/>
      <c r="H487" s="22" t="n"/>
      <c r="I487" s="22" t="n"/>
      <c r="J487" s="22" t="n"/>
      <c r="K487" s="19" t="n"/>
      <c r="L487" s="19" t="n"/>
      <c r="M487" s="19" t="n"/>
      <c r="N487" s="19" t="n"/>
      <c r="O487" s="23">
        <f>IF(J487="","",H487+I487)</f>
        <v/>
      </c>
      <c r="P487" s="23">
        <f>IF(J487="","",J487-O487)</f>
        <v/>
      </c>
      <c r="Q487" s="24">
        <f>IF(OR(J487="",J487=0),"",P487/J487)</f>
        <v/>
      </c>
      <c r="R487" s="25">
        <f>IF(OR(A487="",B487=""),"",B487-A487)</f>
        <v/>
      </c>
      <c r="S487" s="26">
        <f>IF(B487="","",YEAR(B487))</f>
        <v/>
      </c>
      <c r="T487" s="27">
        <f>IF(B487="","",IF(OR(F487="Electric",F487="Plug-in",F487="Hibrid"),1,0))</f>
        <v/>
      </c>
    </row>
    <row r="488">
      <c r="A488" s="18" t="n"/>
      <c r="B488" s="18" t="n"/>
      <c r="C488" s="19" t="n"/>
      <c r="D488" s="19" t="n"/>
      <c r="E488" s="20" t="n"/>
      <c r="F488" s="19" t="n"/>
      <c r="G488" s="21" t="n"/>
      <c r="H488" s="22" t="n"/>
      <c r="I488" s="22" t="n"/>
      <c r="J488" s="22" t="n"/>
      <c r="K488" s="19" t="n"/>
      <c r="L488" s="19" t="n"/>
      <c r="M488" s="19" t="n"/>
      <c r="N488" s="19" t="n"/>
      <c r="O488" s="23">
        <f>IF(J488="","",H488+I488)</f>
        <v/>
      </c>
      <c r="P488" s="23">
        <f>IF(J488="","",J488-O488)</f>
        <v/>
      </c>
      <c r="Q488" s="24">
        <f>IF(OR(J488="",J488=0),"",P488/J488)</f>
        <v/>
      </c>
      <c r="R488" s="25">
        <f>IF(OR(A488="",B488=""),"",B488-A488)</f>
        <v/>
      </c>
      <c r="S488" s="26">
        <f>IF(B488="","",YEAR(B488))</f>
        <v/>
      </c>
      <c r="T488" s="27">
        <f>IF(B488="","",IF(OR(F488="Electric",F488="Plug-in",F488="Hibrid"),1,0))</f>
        <v/>
      </c>
    </row>
    <row r="489">
      <c r="A489" s="18" t="n"/>
      <c r="B489" s="18" t="n"/>
      <c r="C489" s="19" t="n"/>
      <c r="D489" s="19" t="n"/>
      <c r="E489" s="20" t="n"/>
      <c r="F489" s="19" t="n"/>
      <c r="G489" s="21" t="n"/>
      <c r="H489" s="22" t="n"/>
      <c r="I489" s="22" t="n"/>
      <c r="J489" s="22" t="n"/>
      <c r="K489" s="19" t="n"/>
      <c r="L489" s="19" t="n"/>
      <c r="M489" s="19" t="n"/>
      <c r="N489" s="19" t="n"/>
      <c r="O489" s="23">
        <f>IF(J489="","",H489+I489)</f>
        <v/>
      </c>
      <c r="P489" s="23">
        <f>IF(J489="","",J489-O489)</f>
        <v/>
      </c>
      <c r="Q489" s="24">
        <f>IF(OR(J489="",J489=0),"",P489/J489)</f>
        <v/>
      </c>
      <c r="R489" s="25">
        <f>IF(OR(A489="",B489=""),"",B489-A489)</f>
        <v/>
      </c>
      <c r="S489" s="26">
        <f>IF(B489="","",YEAR(B489))</f>
        <v/>
      </c>
      <c r="T489" s="27">
        <f>IF(B489="","",IF(OR(F489="Electric",F489="Plug-in",F489="Hibrid"),1,0))</f>
        <v/>
      </c>
    </row>
    <row r="490">
      <c r="A490" s="18" t="n"/>
      <c r="B490" s="18" t="n"/>
      <c r="C490" s="19" t="n"/>
      <c r="D490" s="19" t="n"/>
      <c r="E490" s="20" t="n"/>
      <c r="F490" s="19" t="n"/>
      <c r="G490" s="21" t="n"/>
      <c r="H490" s="22" t="n"/>
      <c r="I490" s="22" t="n"/>
      <c r="J490" s="22" t="n"/>
      <c r="K490" s="19" t="n"/>
      <c r="L490" s="19" t="n"/>
      <c r="M490" s="19" t="n"/>
      <c r="N490" s="19" t="n"/>
      <c r="O490" s="23">
        <f>IF(J490="","",H490+I490)</f>
        <v/>
      </c>
      <c r="P490" s="23">
        <f>IF(J490="","",J490-O490)</f>
        <v/>
      </c>
      <c r="Q490" s="24">
        <f>IF(OR(J490="",J490=0),"",P490/J490)</f>
        <v/>
      </c>
      <c r="R490" s="25">
        <f>IF(OR(A490="",B490=""),"",B490-A490)</f>
        <v/>
      </c>
      <c r="S490" s="26">
        <f>IF(B490="","",YEAR(B490))</f>
        <v/>
      </c>
      <c r="T490" s="27">
        <f>IF(B490="","",IF(OR(F490="Electric",F490="Plug-in",F490="Hibrid"),1,0))</f>
        <v/>
      </c>
    </row>
    <row r="491">
      <c r="A491" s="18" t="n"/>
      <c r="B491" s="18" t="n"/>
      <c r="C491" s="19" t="n"/>
      <c r="D491" s="19" t="n"/>
      <c r="E491" s="20" t="n"/>
      <c r="F491" s="19" t="n"/>
      <c r="G491" s="21" t="n"/>
      <c r="H491" s="22" t="n"/>
      <c r="I491" s="22" t="n"/>
      <c r="J491" s="22" t="n"/>
      <c r="K491" s="19" t="n"/>
      <c r="L491" s="19" t="n"/>
      <c r="M491" s="19" t="n"/>
      <c r="N491" s="19" t="n"/>
      <c r="O491" s="23">
        <f>IF(J491="","",H491+I491)</f>
        <v/>
      </c>
      <c r="P491" s="23">
        <f>IF(J491="","",J491-O491)</f>
        <v/>
      </c>
      <c r="Q491" s="24">
        <f>IF(OR(J491="",J491=0),"",P491/J491)</f>
        <v/>
      </c>
      <c r="R491" s="25">
        <f>IF(OR(A491="",B491=""),"",B491-A491)</f>
        <v/>
      </c>
      <c r="S491" s="26">
        <f>IF(B491="","",YEAR(B491))</f>
        <v/>
      </c>
      <c r="T491" s="27">
        <f>IF(B491="","",IF(OR(F491="Electric",F491="Plug-in",F491="Hibrid"),1,0))</f>
        <v/>
      </c>
    </row>
    <row r="492">
      <c r="A492" s="18" t="n"/>
      <c r="B492" s="18" t="n"/>
      <c r="C492" s="19" t="n"/>
      <c r="D492" s="19" t="n"/>
      <c r="E492" s="20" t="n"/>
      <c r="F492" s="19" t="n"/>
      <c r="G492" s="21" t="n"/>
      <c r="H492" s="22" t="n"/>
      <c r="I492" s="22" t="n"/>
      <c r="J492" s="22" t="n"/>
      <c r="K492" s="19" t="n"/>
      <c r="L492" s="19" t="n"/>
      <c r="M492" s="19" t="n"/>
      <c r="N492" s="19" t="n"/>
      <c r="O492" s="23">
        <f>IF(J492="","",H492+I492)</f>
        <v/>
      </c>
      <c r="P492" s="23">
        <f>IF(J492="","",J492-O492)</f>
        <v/>
      </c>
      <c r="Q492" s="24">
        <f>IF(OR(J492="",J492=0),"",P492/J492)</f>
        <v/>
      </c>
      <c r="R492" s="25">
        <f>IF(OR(A492="",B492=""),"",B492-A492)</f>
        <v/>
      </c>
      <c r="S492" s="26">
        <f>IF(B492="","",YEAR(B492))</f>
        <v/>
      </c>
      <c r="T492" s="27">
        <f>IF(B492="","",IF(OR(F492="Electric",F492="Plug-in",F492="Hibrid"),1,0))</f>
        <v/>
      </c>
    </row>
    <row r="493">
      <c r="A493" s="18" t="n"/>
      <c r="B493" s="18" t="n"/>
      <c r="C493" s="19" t="n"/>
      <c r="D493" s="19" t="n"/>
      <c r="E493" s="20" t="n"/>
      <c r="F493" s="19" t="n"/>
      <c r="G493" s="21" t="n"/>
      <c r="H493" s="22" t="n"/>
      <c r="I493" s="22" t="n"/>
      <c r="J493" s="22" t="n"/>
      <c r="K493" s="19" t="n"/>
      <c r="L493" s="19" t="n"/>
      <c r="M493" s="19" t="n"/>
      <c r="N493" s="19" t="n"/>
      <c r="O493" s="23">
        <f>IF(J493="","",H493+I493)</f>
        <v/>
      </c>
      <c r="P493" s="23">
        <f>IF(J493="","",J493-O493)</f>
        <v/>
      </c>
      <c r="Q493" s="24">
        <f>IF(OR(J493="",J493=0),"",P493/J493)</f>
        <v/>
      </c>
      <c r="R493" s="25">
        <f>IF(OR(A493="",B493=""),"",B493-A493)</f>
        <v/>
      </c>
      <c r="S493" s="26">
        <f>IF(B493="","",YEAR(B493))</f>
        <v/>
      </c>
      <c r="T493" s="27">
        <f>IF(B493="","",IF(OR(F493="Electric",F493="Plug-in",F493="Hibrid"),1,0))</f>
        <v/>
      </c>
    </row>
    <row r="494">
      <c r="A494" s="18" t="n"/>
      <c r="B494" s="18" t="n"/>
      <c r="C494" s="19" t="n"/>
      <c r="D494" s="19" t="n"/>
      <c r="E494" s="20" t="n"/>
      <c r="F494" s="19" t="n"/>
      <c r="G494" s="21" t="n"/>
      <c r="H494" s="22" t="n"/>
      <c r="I494" s="22" t="n"/>
      <c r="J494" s="22" t="n"/>
      <c r="K494" s="19" t="n"/>
      <c r="L494" s="19" t="n"/>
      <c r="M494" s="19" t="n"/>
      <c r="N494" s="19" t="n"/>
      <c r="O494" s="23">
        <f>IF(J494="","",H494+I494)</f>
        <v/>
      </c>
      <c r="P494" s="23">
        <f>IF(J494="","",J494-O494)</f>
        <v/>
      </c>
      <c r="Q494" s="24">
        <f>IF(OR(J494="",J494=0),"",P494/J494)</f>
        <v/>
      </c>
      <c r="R494" s="25">
        <f>IF(OR(A494="",B494=""),"",B494-A494)</f>
        <v/>
      </c>
      <c r="S494" s="26">
        <f>IF(B494="","",YEAR(B494))</f>
        <v/>
      </c>
      <c r="T494" s="27">
        <f>IF(B494="","",IF(OR(F494="Electric",F494="Plug-in",F494="Hibrid"),1,0))</f>
        <v/>
      </c>
    </row>
    <row r="495">
      <c r="A495" s="18" t="n"/>
      <c r="B495" s="18" t="n"/>
      <c r="C495" s="19" t="n"/>
      <c r="D495" s="19" t="n"/>
      <c r="E495" s="20" t="n"/>
      <c r="F495" s="19" t="n"/>
      <c r="G495" s="21" t="n"/>
      <c r="H495" s="22" t="n"/>
      <c r="I495" s="22" t="n"/>
      <c r="J495" s="22" t="n"/>
      <c r="K495" s="19" t="n"/>
      <c r="L495" s="19" t="n"/>
      <c r="M495" s="19" t="n"/>
      <c r="N495" s="19" t="n"/>
      <c r="O495" s="23">
        <f>IF(J495="","",H495+I495)</f>
        <v/>
      </c>
      <c r="P495" s="23">
        <f>IF(J495="","",J495-O495)</f>
        <v/>
      </c>
      <c r="Q495" s="24">
        <f>IF(OR(J495="",J495=0),"",P495/J495)</f>
        <v/>
      </c>
      <c r="R495" s="25">
        <f>IF(OR(A495="",B495=""),"",B495-A495)</f>
        <v/>
      </c>
      <c r="S495" s="26">
        <f>IF(B495="","",YEAR(B495))</f>
        <v/>
      </c>
      <c r="T495" s="27">
        <f>IF(B495="","",IF(OR(F495="Electric",F495="Plug-in",F495="Hibrid"),1,0))</f>
        <v/>
      </c>
    </row>
    <row r="496">
      <c r="A496" s="18" t="n"/>
      <c r="B496" s="18" t="n"/>
      <c r="C496" s="19" t="n"/>
      <c r="D496" s="19" t="n"/>
      <c r="E496" s="20" t="n"/>
      <c r="F496" s="19" t="n"/>
      <c r="G496" s="21" t="n"/>
      <c r="H496" s="22" t="n"/>
      <c r="I496" s="22" t="n"/>
      <c r="J496" s="22" t="n"/>
      <c r="K496" s="19" t="n"/>
      <c r="L496" s="19" t="n"/>
      <c r="M496" s="19" t="n"/>
      <c r="N496" s="19" t="n"/>
      <c r="O496" s="23">
        <f>IF(J496="","",H496+I496)</f>
        <v/>
      </c>
      <c r="P496" s="23">
        <f>IF(J496="","",J496-O496)</f>
        <v/>
      </c>
      <c r="Q496" s="24">
        <f>IF(OR(J496="",J496=0),"",P496/J496)</f>
        <v/>
      </c>
      <c r="R496" s="25">
        <f>IF(OR(A496="",B496=""),"",B496-A496)</f>
        <v/>
      </c>
      <c r="S496" s="26">
        <f>IF(B496="","",YEAR(B496))</f>
        <v/>
      </c>
      <c r="T496" s="27">
        <f>IF(B496="","",IF(OR(F496="Electric",F496="Plug-in",F496="Hibrid"),1,0))</f>
        <v/>
      </c>
    </row>
    <row r="497">
      <c r="A497" s="18" t="n"/>
      <c r="B497" s="18" t="n"/>
      <c r="C497" s="19" t="n"/>
      <c r="D497" s="19" t="n"/>
      <c r="E497" s="20" t="n"/>
      <c r="F497" s="19" t="n"/>
      <c r="G497" s="21" t="n"/>
      <c r="H497" s="22" t="n"/>
      <c r="I497" s="22" t="n"/>
      <c r="J497" s="22" t="n"/>
      <c r="K497" s="19" t="n"/>
      <c r="L497" s="19" t="n"/>
      <c r="M497" s="19" t="n"/>
      <c r="N497" s="19" t="n"/>
      <c r="O497" s="23">
        <f>IF(J497="","",H497+I497)</f>
        <v/>
      </c>
      <c r="P497" s="23">
        <f>IF(J497="","",J497-O497)</f>
        <v/>
      </c>
      <c r="Q497" s="24">
        <f>IF(OR(J497="",J497=0),"",P497/J497)</f>
        <v/>
      </c>
      <c r="R497" s="25">
        <f>IF(OR(A497="",B497=""),"",B497-A497)</f>
        <v/>
      </c>
      <c r="S497" s="26">
        <f>IF(B497="","",YEAR(B497))</f>
        <v/>
      </c>
      <c r="T497" s="27">
        <f>IF(B497="","",IF(OR(F497="Electric",F497="Plug-in",F497="Hibrid"),1,0))</f>
        <v/>
      </c>
    </row>
    <row r="498">
      <c r="A498" s="18" t="n"/>
      <c r="B498" s="18" t="n"/>
      <c r="C498" s="19" t="n"/>
      <c r="D498" s="19" t="n"/>
      <c r="E498" s="20" t="n"/>
      <c r="F498" s="19" t="n"/>
      <c r="G498" s="21" t="n"/>
      <c r="H498" s="22" t="n"/>
      <c r="I498" s="22" t="n"/>
      <c r="J498" s="22" t="n"/>
      <c r="K498" s="19" t="n"/>
      <c r="L498" s="19" t="n"/>
      <c r="M498" s="19" t="n"/>
      <c r="N498" s="19" t="n"/>
      <c r="O498" s="23">
        <f>IF(J498="","",H498+I498)</f>
        <v/>
      </c>
      <c r="P498" s="23">
        <f>IF(J498="","",J498-O498)</f>
        <v/>
      </c>
      <c r="Q498" s="24">
        <f>IF(OR(J498="",J498=0),"",P498/J498)</f>
        <v/>
      </c>
      <c r="R498" s="25">
        <f>IF(OR(A498="",B498=""),"",B498-A498)</f>
        <v/>
      </c>
      <c r="S498" s="26">
        <f>IF(B498="","",YEAR(B498))</f>
        <v/>
      </c>
      <c r="T498" s="27">
        <f>IF(B498="","",IF(OR(F498="Electric",F498="Plug-in",F498="Hibrid"),1,0))</f>
        <v/>
      </c>
    </row>
    <row r="499">
      <c r="A499" s="18" t="n"/>
      <c r="B499" s="18" t="n"/>
      <c r="C499" s="19" t="n"/>
      <c r="D499" s="19" t="n"/>
      <c r="E499" s="20" t="n"/>
      <c r="F499" s="19" t="n"/>
      <c r="G499" s="21" t="n"/>
      <c r="H499" s="22" t="n"/>
      <c r="I499" s="22" t="n"/>
      <c r="J499" s="22" t="n"/>
      <c r="K499" s="19" t="n"/>
      <c r="L499" s="19" t="n"/>
      <c r="M499" s="19" t="n"/>
      <c r="N499" s="19" t="n"/>
      <c r="O499" s="23">
        <f>IF(J499="","",H499+I499)</f>
        <v/>
      </c>
      <c r="P499" s="23">
        <f>IF(J499="","",J499-O499)</f>
        <v/>
      </c>
      <c r="Q499" s="24">
        <f>IF(OR(J499="",J499=0),"",P499/J499)</f>
        <v/>
      </c>
      <c r="R499" s="25">
        <f>IF(OR(A499="",B499=""),"",B499-A499)</f>
        <v/>
      </c>
      <c r="S499" s="26">
        <f>IF(B499="","",YEAR(B499))</f>
        <v/>
      </c>
      <c r="T499" s="27">
        <f>IF(B499="","",IF(OR(F499="Electric",F499="Plug-in",F499="Hibrid"),1,0))</f>
        <v/>
      </c>
    </row>
    <row r="500">
      <c r="A500" s="18" t="n"/>
      <c r="B500" s="18" t="n"/>
      <c r="C500" s="19" t="n"/>
      <c r="D500" s="19" t="n"/>
      <c r="E500" s="20" t="n"/>
      <c r="F500" s="19" t="n"/>
      <c r="G500" s="21" t="n"/>
      <c r="H500" s="22" t="n"/>
      <c r="I500" s="22" t="n"/>
      <c r="J500" s="22" t="n"/>
      <c r="K500" s="19" t="n"/>
      <c r="L500" s="19" t="n"/>
      <c r="M500" s="19" t="n"/>
      <c r="N500" s="19" t="n"/>
      <c r="O500" s="23">
        <f>IF(J500="","",H500+I500)</f>
        <v/>
      </c>
      <c r="P500" s="23">
        <f>IF(J500="","",J500-O500)</f>
        <v/>
      </c>
      <c r="Q500" s="24">
        <f>IF(OR(J500="",J500=0),"",P500/J500)</f>
        <v/>
      </c>
      <c r="R500" s="25">
        <f>IF(OR(A500="",B500=""),"",B500-A500)</f>
        <v/>
      </c>
      <c r="S500" s="26">
        <f>IF(B500="","",YEAR(B500))</f>
        <v/>
      </c>
      <c r="T500" s="27">
        <f>IF(B500="","",IF(OR(F500="Electric",F500="Plug-in",F500="Hibrid"),1,0))</f>
        <v/>
      </c>
    </row>
    <row r="501">
      <c r="A501" s="18" t="n"/>
      <c r="B501" s="18" t="n"/>
      <c r="C501" s="19" t="n"/>
      <c r="D501" s="19" t="n"/>
      <c r="E501" s="20" t="n"/>
      <c r="F501" s="19" t="n"/>
      <c r="G501" s="21" t="n"/>
      <c r="H501" s="22" t="n"/>
      <c r="I501" s="22" t="n"/>
      <c r="J501" s="22" t="n"/>
      <c r="K501" s="19" t="n"/>
      <c r="L501" s="19" t="n"/>
      <c r="M501" s="19" t="n"/>
      <c r="N501" s="19" t="n"/>
      <c r="O501" s="23">
        <f>IF(J501="","",H501+I501)</f>
        <v/>
      </c>
      <c r="P501" s="23">
        <f>IF(J501="","",J501-O501)</f>
        <v/>
      </c>
      <c r="Q501" s="24">
        <f>IF(OR(J501="",J501=0),"",P501/J501)</f>
        <v/>
      </c>
      <c r="R501" s="25">
        <f>IF(OR(A501="",B501=""),"",B501-A501)</f>
        <v/>
      </c>
      <c r="S501" s="26">
        <f>IF(B501="","",YEAR(B501))</f>
        <v/>
      </c>
      <c r="T501" s="27">
        <f>IF(B501="","",IF(OR(F501="Electric",F501="Plug-in",F501="Hibrid"),1,0))</f>
        <v/>
      </c>
    </row>
    <row r="502">
      <c r="A502" s="18" t="n"/>
      <c r="B502" s="18" t="n"/>
      <c r="C502" s="19" t="n"/>
      <c r="D502" s="19" t="n"/>
      <c r="E502" s="20" t="n"/>
      <c r="F502" s="19" t="n"/>
      <c r="G502" s="21" t="n"/>
      <c r="H502" s="22" t="n"/>
      <c r="I502" s="22" t="n"/>
      <c r="J502" s="22" t="n"/>
      <c r="K502" s="19" t="n"/>
      <c r="L502" s="19" t="n"/>
      <c r="M502" s="19" t="n"/>
      <c r="N502" s="19" t="n"/>
      <c r="O502" s="23">
        <f>IF(J502="","",H502+I502)</f>
        <v/>
      </c>
      <c r="P502" s="23">
        <f>IF(J502="","",J502-O502)</f>
        <v/>
      </c>
      <c r="Q502" s="24">
        <f>IF(OR(J502="",J502=0),"",P502/J502)</f>
        <v/>
      </c>
      <c r="R502" s="25">
        <f>IF(OR(A502="",B502=""),"",B502-A502)</f>
        <v/>
      </c>
      <c r="S502" s="26">
        <f>IF(B502="","",YEAR(B502))</f>
        <v/>
      </c>
      <c r="T502" s="27">
        <f>IF(B502="","",IF(OR(F502="Electric",F502="Plug-in",F502="Hibrid"),1,0))</f>
        <v/>
      </c>
    </row>
    <row r="503">
      <c r="A503" s="18" t="n"/>
      <c r="B503" s="18" t="n"/>
      <c r="C503" s="19" t="n"/>
      <c r="D503" s="19" t="n"/>
      <c r="E503" s="20" t="n"/>
      <c r="F503" s="19" t="n"/>
      <c r="G503" s="21" t="n"/>
      <c r="H503" s="22" t="n"/>
      <c r="I503" s="22" t="n"/>
      <c r="J503" s="22" t="n"/>
      <c r="K503" s="19" t="n"/>
      <c r="L503" s="19" t="n"/>
      <c r="M503" s="19" t="n"/>
      <c r="N503" s="19" t="n"/>
      <c r="O503" s="23">
        <f>IF(J503="","",H503+I503)</f>
        <v/>
      </c>
      <c r="P503" s="23">
        <f>IF(J503="","",J503-O503)</f>
        <v/>
      </c>
      <c r="Q503" s="24">
        <f>IF(OR(J503="",J503=0),"",P503/J503)</f>
        <v/>
      </c>
      <c r="R503" s="25">
        <f>IF(OR(A503="",B503=""),"",B503-A503)</f>
        <v/>
      </c>
      <c r="S503" s="26">
        <f>IF(B503="","",YEAR(B503))</f>
        <v/>
      </c>
      <c r="T503" s="27">
        <f>IF(B503="","",IF(OR(F503="Electric",F503="Plug-in",F503="Hibrid"),1,0))</f>
        <v/>
      </c>
    </row>
    <row r="504">
      <c r="A504" s="18" t="n"/>
      <c r="B504" s="18" t="n"/>
      <c r="C504" s="19" t="n"/>
      <c r="D504" s="19" t="n"/>
      <c r="E504" s="20" t="n"/>
      <c r="F504" s="19" t="n"/>
      <c r="G504" s="21" t="n"/>
      <c r="H504" s="22" t="n"/>
      <c r="I504" s="22" t="n"/>
      <c r="J504" s="22" t="n"/>
      <c r="K504" s="19" t="n"/>
      <c r="L504" s="19" t="n"/>
      <c r="M504" s="19" t="n"/>
      <c r="N504" s="19" t="n"/>
      <c r="O504" s="23">
        <f>IF(J504="","",H504+I504)</f>
        <v/>
      </c>
      <c r="P504" s="23">
        <f>IF(J504="","",J504-O504)</f>
        <v/>
      </c>
      <c r="Q504" s="24">
        <f>IF(OR(J504="",J504=0),"",P504/J504)</f>
        <v/>
      </c>
      <c r="R504" s="25">
        <f>IF(OR(A504="",B504=""),"",B504-A504)</f>
        <v/>
      </c>
      <c r="S504" s="26">
        <f>IF(B504="","",YEAR(B504))</f>
        <v/>
      </c>
      <c r="T504" s="27">
        <f>IF(B504="","",IF(OR(F504="Electric",F504="Plug-in",F504="Hibrid"),1,0))</f>
        <v/>
      </c>
    </row>
    <row r="505">
      <c r="A505" s="18" t="n"/>
      <c r="B505" s="18" t="n"/>
      <c r="C505" s="19" t="n"/>
      <c r="D505" s="19" t="n"/>
      <c r="E505" s="20" t="n"/>
      <c r="F505" s="19" t="n"/>
      <c r="G505" s="21" t="n"/>
      <c r="H505" s="22" t="n"/>
      <c r="I505" s="22" t="n"/>
      <c r="J505" s="22" t="n"/>
      <c r="K505" s="19" t="n"/>
      <c r="L505" s="19" t="n"/>
      <c r="M505" s="19" t="n"/>
      <c r="N505" s="19" t="n"/>
      <c r="O505" s="23">
        <f>IF(J505="","",H505+I505)</f>
        <v/>
      </c>
      <c r="P505" s="23">
        <f>IF(J505="","",J505-O505)</f>
        <v/>
      </c>
      <c r="Q505" s="24">
        <f>IF(OR(J505="",J505=0),"",P505/J505)</f>
        <v/>
      </c>
      <c r="R505" s="25">
        <f>IF(OR(A505="",B505=""),"",B505-A505)</f>
        <v/>
      </c>
      <c r="S505" s="26">
        <f>IF(B505="","",YEAR(B505))</f>
        <v/>
      </c>
      <c r="T505" s="27">
        <f>IF(B505="","",IF(OR(F505="Electric",F505="Plug-in",F505="Hibrid"),1,0))</f>
        <v/>
      </c>
    </row>
    <row r="506">
      <c r="A506" s="18" t="n"/>
      <c r="B506" s="18" t="n"/>
      <c r="C506" s="19" t="n"/>
      <c r="D506" s="19" t="n"/>
      <c r="E506" s="20" t="n"/>
      <c r="F506" s="19" t="n"/>
      <c r="G506" s="21" t="n"/>
      <c r="H506" s="22" t="n"/>
      <c r="I506" s="22" t="n"/>
      <c r="J506" s="22" t="n"/>
      <c r="K506" s="19" t="n"/>
      <c r="L506" s="19" t="n"/>
      <c r="M506" s="19" t="n"/>
      <c r="N506" s="19" t="n"/>
      <c r="O506" s="23">
        <f>IF(J506="","",H506+I506)</f>
        <v/>
      </c>
      <c r="P506" s="23">
        <f>IF(J506="","",J506-O506)</f>
        <v/>
      </c>
      <c r="Q506" s="24">
        <f>IF(OR(J506="",J506=0),"",P506/J506)</f>
        <v/>
      </c>
      <c r="R506" s="25">
        <f>IF(OR(A506="",B506=""),"",B506-A506)</f>
        <v/>
      </c>
      <c r="S506" s="26">
        <f>IF(B506="","",YEAR(B506))</f>
        <v/>
      </c>
      <c r="T506" s="27">
        <f>IF(B506="","",IF(OR(F506="Electric",F506="Plug-in",F506="Hibrid"),1,0))</f>
        <v/>
      </c>
    </row>
    <row r="507">
      <c r="A507" s="18" t="n"/>
      <c r="B507" s="18" t="n"/>
      <c r="C507" s="19" t="n"/>
      <c r="D507" s="19" t="n"/>
      <c r="E507" s="20" t="n"/>
      <c r="F507" s="19" t="n"/>
      <c r="G507" s="21" t="n"/>
      <c r="H507" s="22" t="n"/>
      <c r="I507" s="22" t="n"/>
      <c r="J507" s="22" t="n"/>
      <c r="K507" s="19" t="n"/>
      <c r="L507" s="19" t="n"/>
      <c r="M507" s="19" t="n"/>
      <c r="N507" s="19" t="n"/>
      <c r="O507" s="23">
        <f>IF(J507="","",H507+I507)</f>
        <v/>
      </c>
      <c r="P507" s="23">
        <f>IF(J507="","",J507-O507)</f>
        <v/>
      </c>
      <c r="Q507" s="24">
        <f>IF(OR(J507="",J507=0),"",P507/J507)</f>
        <v/>
      </c>
      <c r="R507" s="25">
        <f>IF(OR(A507="",B507=""),"",B507-A507)</f>
        <v/>
      </c>
      <c r="S507" s="26">
        <f>IF(B507="","",YEAR(B507))</f>
        <v/>
      </c>
      <c r="T507" s="27">
        <f>IF(B507="","",IF(OR(F507="Electric",F507="Plug-in",F507="Hibrid"),1,0))</f>
        <v/>
      </c>
    </row>
    <row r="508">
      <c r="A508" s="18" t="n"/>
      <c r="B508" s="18" t="n"/>
      <c r="C508" s="19" t="n"/>
      <c r="D508" s="19" t="n"/>
      <c r="E508" s="20" t="n"/>
      <c r="F508" s="19" t="n"/>
      <c r="G508" s="21" t="n"/>
      <c r="H508" s="22" t="n"/>
      <c r="I508" s="22" t="n"/>
      <c r="J508" s="22" t="n"/>
      <c r="K508" s="19" t="n"/>
      <c r="L508" s="19" t="n"/>
      <c r="M508" s="19" t="n"/>
      <c r="N508" s="19" t="n"/>
      <c r="O508" s="23">
        <f>IF(J508="","",H508+I508)</f>
        <v/>
      </c>
      <c r="P508" s="23">
        <f>IF(J508="","",J508-O508)</f>
        <v/>
      </c>
      <c r="Q508" s="24">
        <f>IF(OR(J508="",J508=0),"",P508/J508)</f>
        <v/>
      </c>
      <c r="R508" s="25">
        <f>IF(OR(A508="",B508=""),"",B508-A508)</f>
        <v/>
      </c>
      <c r="S508" s="26">
        <f>IF(B508="","",YEAR(B508))</f>
        <v/>
      </c>
      <c r="T508" s="27">
        <f>IF(B508="","",IF(OR(F508="Electric",F508="Plug-in",F508="Hibrid"),1,0))</f>
        <v/>
      </c>
    </row>
    <row r="509">
      <c r="A509" s="18" t="n"/>
      <c r="B509" s="18" t="n"/>
      <c r="C509" s="19" t="n"/>
      <c r="D509" s="19" t="n"/>
      <c r="E509" s="20" t="n"/>
      <c r="F509" s="19" t="n"/>
      <c r="G509" s="21" t="n"/>
      <c r="H509" s="22" t="n"/>
      <c r="I509" s="22" t="n"/>
      <c r="J509" s="22" t="n"/>
      <c r="K509" s="19" t="n"/>
      <c r="L509" s="19" t="n"/>
      <c r="M509" s="19" t="n"/>
      <c r="N509" s="19" t="n"/>
      <c r="O509" s="23">
        <f>IF(J509="","",H509+I509)</f>
        <v/>
      </c>
      <c r="P509" s="23">
        <f>IF(J509="","",J509-O509)</f>
        <v/>
      </c>
      <c r="Q509" s="24">
        <f>IF(OR(J509="",J509=0),"",P509/J509)</f>
        <v/>
      </c>
      <c r="R509" s="25">
        <f>IF(OR(A509="",B509=""),"",B509-A509)</f>
        <v/>
      </c>
      <c r="S509" s="26">
        <f>IF(B509="","",YEAR(B509))</f>
        <v/>
      </c>
      <c r="T509" s="27">
        <f>IF(B509="","",IF(OR(F509="Electric",F509="Plug-in",F509="Hibrid"),1,0))</f>
        <v/>
      </c>
    </row>
    <row r="510">
      <c r="A510" s="18" t="n"/>
      <c r="B510" s="18" t="n"/>
      <c r="C510" s="19" t="n"/>
      <c r="D510" s="19" t="n"/>
      <c r="E510" s="20" t="n"/>
      <c r="F510" s="19" t="n"/>
      <c r="G510" s="21" t="n"/>
      <c r="H510" s="22" t="n"/>
      <c r="I510" s="22" t="n"/>
      <c r="J510" s="22" t="n"/>
      <c r="K510" s="19" t="n"/>
      <c r="L510" s="19" t="n"/>
      <c r="M510" s="19" t="n"/>
      <c r="N510" s="19" t="n"/>
      <c r="O510" s="23">
        <f>IF(J510="","",H510+I510)</f>
        <v/>
      </c>
      <c r="P510" s="23">
        <f>IF(J510="","",J510-O510)</f>
        <v/>
      </c>
      <c r="Q510" s="24">
        <f>IF(OR(J510="",J510=0),"",P510/J510)</f>
        <v/>
      </c>
      <c r="R510" s="25">
        <f>IF(OR(A510="",B510=""),"",B510-A510)</f>
        <v/>
      </c>
      <c r="S510" s="26">
        <f>IF(B510="","",YEAR(B510))</f>
        <v/>
      </c>
      <c r="T510" s="27">
        <f>IF(B510="","",IF(OR(F510="Electric",F510="Plug-in",F510="Hibrid"),1,0))</f>
        <v/>
      </c>
    </row>
    <row r="511">
      <c r="A511" s="18" t="n"/>
      <c r="B511" s="18" t="n"/>
      <c r="C511" s="19" t="n"/>
      <c r="D511" s="19" t="n"/>
      <c r="E511" s="20" t="n"/>
      <c r="F511" s="19" t="n"/>
      <c r="G511" s="21" t="n"/>
      <c r="H511" s="22" t="n"/>
      <c r="I511" s="22" t="n"/>
      <c r="J511" s="22" t="n"/>
      <c r="K511" s="19" t="n"/>
      <c r="L511" s="19" t="n"/>
      <c r="M511" s="19" t="n"/>
      <c r="N511" s="19" t="n"/>
      <c r="O511" s="23">
        <f>IF(J511="","",H511+I511)</f>
        <v/>
      </c>
      <c r="P511" s="23">
        <f>IF(J511="","",J511-O511)</f>
        <v/>
      </c>
      <c r="Q511" s="24">
        <f>IF(OR(J511="",J511=0),"",P511/J511)</f>
        <v/>
      </c>
      <c r="R511" s="25">
        <f>IF(OR(A511="",B511=""),"",B511-A511)</f>
        <v/>
      </c>
      <c r="S511" s="26">
        <f>IF(B511="","",YEAR(B511))</f>
        <v/>
      </c>
      <c r="T511" s="27">
        <f>IF(B511="","",IF(OR(F511="Electric",F511="Plug-in",F511="Hibrid"),1,0))</f>
        <v/>
      </c>
    </row>
    <row r="512">
      <c r="A512" s="18" t="n"/>
      <c r="B512" s="18" t="n"/>
      <c r="C512" s="19" t="n"/>
      <c r="D512" s="19" t="n"/>
      <c r="E512" s="20" t="n"/>
      <c r="F512" s="19" t="n"/>
      <c r="G512" s="21" t="n"/>
      <c r="H512" s="22" t="n"/>
      <c r="I512" s="22" t="n"/>
      <c r="J512" s="22" t="n"/>
      <c r="K512" s="19" t="n"/>
      <c r="L512" s="19" t="n"/>
      <c r="M512" s="19" t="n"/>
      <c r="N512" s="19" t="n"/>
      <c r="O512" s="23">
        <f>IF(J512="","",H512+I512)</f>
        <v/>
      </c>
      <c r="P512" s="23">
        <f>IF(J512="","",J512-O512)</f>
        <v/>
      </c>
      <c r="Q512" s="24">
        <f>IF(OR(J512="",J512=0),"",P512/J512)</f>
        <v/>
      </c>
      <c r="R512" s="25">
        <f>IF(OR(A512="",B512=""),"",B512-A512)</f>
        <v/>
      </c>
      <c r="S512" s="26">
        <f>IF(B512="","",YEAR(B512))</f>
        <v/>
      </c>
      <c r="T512" s="27">
        <f>IF(B512="","",IF(OR(F512="Electric",F512="Plug-in",F512="Hibrid"),1,0))</f>
        <v/>
      </c>
    </row>
    <row r="513">
      <c r="A513" s="18" t="n"/>
      <c r="B513" s="18" t="n"/>
      <c r="C513" s="19" t="n"/>
      <c r="D513" s="19" t="n"/>
      <c r="E513" s="20" t="n"/>
      <c r="F513" s="19" t="n"/>
      <c r="G513" s="21" t="n"/>
      <c r="H513" s="22" t="n"/>
      <c r="I513" s="22" t="n"/>
      <c r="J513" s="22" t="n"/>
      <c r="K513" s="19" t="n"/>
      <c r="L513" s="19" t="n"/>
      <c r="M513" s="19" t="n"/>
      <c r="N513" s="19" t="n"/>
      <c r="O513" s="23">
        <f>IF(J513="","",H513+I513)</f>
        <v/>
      </c>
      <c r="P513" s="23">
        <f>IF(J513="","",J513-O513)</f>
        <v/>
      </c>
      <c r="Q513" s="24">
        <f>IF(OR(J513="",J513=0),"",P513/J513)</f>
        <v/>
      </c>
      <c r="R513" s="25">
        <f>IF(OR(A513="",B513=""),"",B513-A513)</f>
        <v/>
      </c>
      <c r="S513" s="26">
        <f>IF(B513="","",YEAR(B513))</f>
        <v/>
      </c>
      <c r="T513" s="27">
        <f>IF(B513="","",IF(OR(F513="Electric",F513="Plug-in",F513="Hibrid"),1,0))</f>
        <v/>
      </c>
    </row>
    <row r="514">
      <c r="A514" s="18" t="n"/>
      <c r="B514" s="18" t="n"/>
      <c r="C514" s="19" t="n"/>
      <c r="D514" s="19" t="n"/>
      <c r="E514" s="20" t="n"/>
      <c r="F514" s="19" t="n"/>
      <c r="G514" s="21" t="n"/>
      <c r="H514" s="22" t="n"/>
      <c r="I514" s="22" t="n"/>
      <c r="J514" s="22" t="n"/>
      <c r="K514" s="19" t="n"/>
      <c r="L514" s="19" t="n"/>
      <c r="M514" s="19" t="n"/>
      <c r="N514" s="19" t="n"/>
      <c r="O514" s="23">
        <f>IF(J514="","",H514+I514)</f>
        <v/>
      </c>
      <c r="P514" s="23">
        <f>IF(J514="","",J514-O514)</f>
        <v/>
      </c>
      <c r="Q514" s="24">
        <f>IF(OR(J514="",J514=0),"",P514/J514)</f>
        <v/>
      </c>
      <c r="R514" s="25">
        <f>IF(OR(A514="",B514=""),"",B514-A514)</f>
        <v/>
      </c>
      <c r="S514" s="26">
        <f>IF(B514="","",YEAR(B514))</f>
        <v/>
      </c>
      <c r="T514" s="27">
        <f>IF(B514="","",IF(OR(F514="Electric",F514="Plug-in",F514="Hibrid"),1,0))</f>
        <v/>
      </c>
    </row>
    <row r="515">
      <c r="A515" s="18" t="n"/>
      <c r="B515" s="18" t="n"/>
      <c r="C515" s="19" t="n"/>
      <c r="D515" s="19" t="n"/>
      <c r="E515" s="20" t="n"/>
      <c r="F515" s="19" t="n"/>
      <c r="G515" s="21" t="n"/>
      <c r="H515" s="22" t="n"/>
      <c r="I515" s="22" t="n"/>
      <c r="J515" s="22" t="n"/>
      <c r="K515" s="19" t="n"/>
      <c r="L515" s="19" t="n"/>
      <c r="M515" s="19" t="n"/>
      <c r="N515" s="19" t="n"/>
      <c r="O515" s="23">
        <f>IF(J515="","",H515+I515)</f>
        <v/>
      </c>
      <c r="P515" s="23">
        <f>IF(J515="","",J515-O515)</f>
        <v/>
      </c>
      <c r="Q515" s="24">
        <f>IF(OR(J515="",J515=0),"",P515/J515)</f>
        <v/>
      </c>
      <c r="R515" s="25">
        <f>IF(OR(A515="",B515=""),"",B515-A515)</f>
        <v/>
      </c>
      <c r="S515" s="26">
        <f>IF(B515="","",YEAR(B515))</f>
        <v/>
      </c>
      <c r="T515" s="27">
        <f>IF(B515="","",IF(OR(F515="Electric",F515="Plug-in",F515="Hibrid"),1,0))</f>
        <v/>
      </c>
    </row>
    <row r="516">
      <c r="A516" s="18" t="n"/>
      <c r="B516" s="18" t="n"/>
      <c r="C516" s="19" t="n"/>
      <c r="D516" s="19" t="n"/>
      <c r="E516" s="20" t="n"/>
      <c r="F516" s="19" t="n"/>
      <c r="G516" s="21" t="n"/>
      <c r="H516" s="22" t="n"/>
      <c r="I516" s="22" t="n"/>
      <c r="J516" s="22" t="n"/>
      <c r="K516" s="19" t="n"/>
      <c r="L516" s="19" t="n"/>
      <c r="M516" s="19" t="n"/>
      <c r="N516" s="19" t="n"/>
      <c r="O516" s="23">
        <f>IF(J516="","",H516+I516)</f>
        <v/>
      </c>
      <c r="P516" s="23">
        <f>IF(J516="","",J516-O516)</f>
        <v/>
      </c>
      <c r="Q516" s="24">
        <f>IF(OR(J516="",J516=0),"",P516/J516)</f>
        <v/>
      </c>
      <c r="R516" s="25">
        <f>IF(OR(A516="",B516=""),"",B516-A516)</f>
        <v/>
      </c>
      <c r="S516" s="26">
        <f>IF(B516="","",YEAR(B516))</f>
        <v/>
      </c>
      <c r="T516" s="27">
        <f>IF(B516="","",IF(OR(F516="Electric",F516="Plug-in",F516="Hibrid"),1,0))</f>
        <v/>
      </c>
    </row>
    <row r="517">
      <c r="A517" s="18" t="n"/>
      <c r="B517" s="18" t="n"/>
      <c r="C517" s="19" t="n"/>
      <c r="D517" s="19" t="n"/>
      <c r="E517" s="20" t="n"/>
      <c r="F517" s="19" t="n"/>
      <c r="G517" s="21" t="n"/>
      <c r="H517" s="22" t="n"/>
      <c r="I517" s="22" t="n"/>
      <c r="J517" s="22" t="n"/>
      <c r="K517" s="19" t="n"/>
      <c r="L517" s="19" t="n"/>
      <c r="M517" s="19" t="n"/>
      <c r="N517" s="19" t="n"/>
      <c r="O517" s="23">
        <f>IF(J517="","",H517+I517)</f>
        <v/>
      </c>
      <c r="P517" s="23">
        <f>IF(J517="","",J517-O517)</f>
        <v/>
      </c>
      <c r="Q517" s="24">
        <f>IF(OR(J517="",J517=0),"",P517/J517)</f>
        <v/>
      </c>
      <c r="R517" s="25">
        <f>IF(OR(A517="",B517=""),"",B517-A517)</f>
        <v/>
      </c>
      <c r="S517" s="26">
        <f>IF(B517="","",YEAR(B517))</f>
        <v/>
      </c>
      <c r="T517" s="27">
        <f>IF(B517="","",IF(OR(F517="Electric",F517="Plug-in",F517="Hibrid"),1,0))</f>
        <v/>
      </c>
    </row>
    <row r="518">
      <c r="A518" s="18" t="n"/>
      <c r="B518" s="18" t="n"/>
      <c r="C518" s="19" t="n"/>
      <c r="D518" s="19" t="n"/>
      <c r="E518" s="20" t="n"/>
      <c r="F518" s="19" t="n"/>
      <c r="G518" s="21" t="n"/>
      <c r="H518" s="22" t="n"/>
      <c r="I518" s="22" t="n"/>
      <c r="J518" s="22" t="n"/>
      <c r="K518" s="19" t="n"/>
      <c r="L518" s="19" t="n"/>
      <c r="M518" s="19" t="n"/>
      <c r="N518" s="19" t="n"/>
      <c r="O518" s="23">
        <f>IF(J518="","",H518+I518)</f>
        <v/>
      </c>
      <c r="P518" s="23">
        <f>IF(J518="","",J518-O518)</f>
        <v/>
      </c>
      <c r="Q518" s="24">
        <f>IF(OR(J518="",J518=0),"",P518/J518)</f>
        <v/>
      </c>
      <c r="R518" s="25">
        <f>IF(OR(A518="",B518=""),"",B518-A518)</f>
        <v/>
      </c>
      <c r="S518" s="26">
        <f>IF(B518="","",YEAR(B518))</f>
        <v/>
      </c>
      <c r="T518" s="27">
        <f>IF(B518="","",IF(OR(F518="Electric",F518="Plug-in",F518="Hibrid"),1,0))</f>
        <v/>
      </c>
    </row>
    <row r="519">
      <c r="A519" s="18" t="n"/>
      <c r="B519" s="18" t="n"/>
      <c r="C519" s="19" t="n"/>
      <c r="D519" s="19" t="n"/>
      <c r="E519" s="20" t="n"/>
      <c r="F519" s="19" t="n"/>
      <c r="G519" s="21" t="n"/>
      <c r="H519" s="22" t="n"/>
      <c r="I519" s="22" t="n"/>
      <c r="J519" s="22" t="n"/>
      <c r="K519" s="19" t="n"/>
      <c r="L519" s="19" t="n"/>
      <c r="M519" s="19" t="n"/>
      <c r="N519" s="19" t="n"/>
      <c r="O519" s="23">
        <f>IF(J519="","",H519+I519)</f>
        <v/>
      </c>
      <c r="P519" s="23">
        <f>IF(J519="","",J519-O519)</f>
        <v/>
      </c>
      <c r="Q519" s="24">
        <f>IF(OR(J519="",J519=0),"",P519/J519)</f>
        <v/>
      </c>
      <c r="R519" s="25">
        <f>IF(OR(A519="",B519=""),"",B519-A519)</f>
        <v/>
      </c>
      <c r="S519" s="26">
        <f>IF(B519="","",YEAR(B519))</f>
        <v/>
      </c>
      <c r="T519" s="27">
        <f>IF(B519="","",IF(OR(F519="Electric",F519="Plug-in",F519="Hibrid"),1,0))</f>
        <v/>
      </c>
    </row>
    <row r="520">
      <c r="A520" s="18" t="n"/>
      <c r="B520" s="18" t="n"/>
      <c r="C520" s="19" t="n"/>
      <c r="D520" s="19" t="n"/>
      <c r="E520" s="20" t="n"/>
      <c r="F520" s="19" t="n"/>
      <c r="G520" s="21" t="n"/>
      <c r="H520" s="22" t="n"/>
      <c r="I520" s="22" t="n"/>
      <c r="J520" s="22" t="n"/>
      <c r="K520" s="19" t="n"/>
      <c r="L520" s="19" t="n"/>
      <c r="M520" s="19" t="n"/>
      <c r="N520" s="19" t="n"/>
      <c r="O520" s="23">
        <f>IF(J520="","",H520+I520)</f>
        <v/>
      </c>
      <c r="P520" s="23">
        <f>IF(J520="","",J520-O520)</f>
        <v/>
      </c>
      <c r="Q520" s="24">
        <f>IF(OR(J520="",J520=0),"",P520/J520)</f>
        <v/>
      </c>
      <c r="R520" s="25">
        <f>IF(OR(A520="",B520=""),"",B520-A520)</f>
        <v/>
      </c>
      <c r="S520" s="26">
        <f>IF(B520="","",YEAR(B520))</f>
        <v/>
      </c>
      <c r="T520" s="27">
        <f>IF(B520="","",IF(OR(F520="Electric",F520="Plug-in",F520="Hibrid"),1,0))</f>
        <v/>
      </c>
    </row>
    <row r="521">
      <c r="A521" s="18" t="n"/>
      <c r="B521" s="18" t="n"/>
      <c r="C521" s="19" t="n"/>
      <c r="D521" s="19" t="n"/>
      <c r="E521" s="20" t="n"/>
      <c r="F521" s="19" t="n"/>
      <c r="G521" s="21" t="n"/>
      <c r="H521" s="22" t="n"/>
      <c r="I521" s="22" t="n"/>
      <c r="J521" s="22" t="n"/>
      <c r="K521" s="19" t="n"/>
      <c r="L521" s="19" t="n"/>
      <c r="M521" s="19" t="n"/>
      <c r="N521" s="19" t="n"/>
      <c r="O521" s="23">
        <f>IF(J521="","",H521+I521)</f>
        <v/>
      </c>
      <c r="P521" s="23">
        <f>IF(J521="","",J521-O521)</f>
        <v/>
      </c>
      <c r="Q521" s="24">
        <f>IF(OR(J521="",J521=0),"",P521/J521)</f>
        <v/>
      </c>
      <c r="R521" s="25">
        <f>IF(OR(A521="",B521=""),"",B521-A521)</f>
        <v/>
      </c>
      <c r="S521" s="26">
        <f>IF(B521="","",YEAR(B521))</f>
        <v/>
      </c>
      <c r="T521" s="27">
        <f>IF(B521="","",IF(OR(F521="Electric",F521="Plug-in",F521="Hibrid"),1,0))</f>
        <v/>
      </c>
    </row>
    <row r="522">
      <c r="A522" s="18" t="n"/>
      <c r="B522" s="18" t="n"/>
      <c r="C522" s="19" t="n"/>
      <c r="D522" s="19" t="n"/>
      <c r="E522" s="20" t="n"/>
      <c r="F522" s="19" t="n"/>
      <c r="G522" s="21" t="n"/>
      <c r="H522" s="22" t="n"/>
      <c r="I522" s="22" t="n"/>
      <c r="J522" s="22" t="n"/>
      <c r="K522" s="19" t="n"/>
      <c r="L522" s="19" t="n"/>
      <c r="M522" s="19" t="n"/>
      <c r="N522" s="19" t="n"/>
      <c r="O522" s="23">
        <f>IF(J522="","",H522+I522)</f>
        <v/>
      </c>
      <c r="P522" s="23">
        <f>IF(J522="","",J522-O522)</f>
        <v/>
      </c>
      <c r="Q522" s="24">
        <f>IF(OR(J522="",J522=0),"",P522/J522)</f>
        <v/>
      </c>
      <c r="R522" s="25">
        <f>IF(OR(A522="",B522=""),"",B522-A522)</f>
        <v/>
      </c>
      <c r="S522" s="26">
        <f>IF(B522="","",YEAR(B522))</f>
        <v/>
      </c>
      <c r="T522" s="27">
        <f>IF(B522="","",IF(OR(F522="Electric",F522="Plug-in",F522="Hibrid"),1,0))</f>
        <v/>
      </c>
    </row>
    <row r="523">
      <c r="A523" s="18" t="n"/>
      <c r="B523" s="18" t="n"/>
      <c r="C523" s="19" t="n"/>
      <c r="D523" s="19" t="n"/>
      <c r="E523" s="20" t="n"/>
      <c r="F523" s="19" t="n"/>
      <c r="G523" s="21" t="n"/>
      <c r="H523" s="22" t="n"/>
      <c r="I523" s="22" t="n"/>
      <c r="J523" s="22" t="n"/>
      <c r="K523" s="19" t="n"/>
      <c r="L523" s="19" t="n"/>
      <c r="M523" s="19" t="n"/>
      <c r="N523" s="19" t="n"/>
      <c r="O523" s="23">
        <f>IF(J523="","",H523+I523)</f>
        <v/>
      </c>
      <c r="P523" s="23">
        <f>IF(J523="","",J523-O523)</f>
        <v/>
      </c>
      <c r="Q523" s="24">
        <f>IF(OR(J523="",J523=0),"",P523/J523)</f>
        <v/>
      </c>
      <c r="R523" s="25">
        <f>IF(OR(A523="",B523=""),"",B523-A523)</f>
        <v/>
      </c>
      <c r="S523" s="26">
        <f>IF(B523="","",YEAR(B523))</f>
        <v/>
      </c>
      <c r="T523" s="27">
        <f>IF(B523="","",IF(OR(F523="Electric",F523="Plug-in",F523="Hibrid"),1,0))</f>
        <v/>
      </c>
    </row>
    <row r="524">
      <c r="A524" s="18" t="n"/>
      <c r="B524" s="18" t="n"/>
      <c r="C524" s="19" t="n"/>
      <c r="D524" s="19" t="n"/>
      <c r="E524" s="20" t="n"/>
      <c r="F524" s="19" t="n"/>
      <c r="G524" s="21" t="n"/>
      <c r="H524" s="22" t="n"/>
      <c r="I524" s="22" t="n"/>
      <c r="J524" s="22" t="n"/>
      <c r="K524" s="19" t="n"/>
      <c r="L524" s="19" t="n"/>
      <c r="M524" s="19" t="n"/>
      <c r="N524" s="19" t="n"/>
      <c r="O524" s="23">
        <f>IF(J524="","",H524+I524)</f>
        <v/>
      </c>
      <c r="P524" s="23">
        <f>IF(J524="","",J524-O524)</f>
        <v/>
      </c>
      <c r="Q524" s="24">
        <f>IF(OR(J524="",J524=0),"",P524/J524)</f>
        <v/>
      </c>
      <c r="R524" s="25">
        <f>IF(OR(A524="",B524=""),"",B524-A524)</f>
        <v/>
      </c>
      <c r="S524" s="26">
        <f>IF(B524="","",YEAR(B524))</f>
        <v/>
      </c>
      <c r="T524" s="27">
        <f>IF(B524="","",IF(OR(F524="Electric",F524="Plug-in",F524="Hibrid"),1,0))</f>
        <v/>
      </c>
    </row>
    <row r="525">
      <c r="A525" s="18" t="n"/>
      <c r="B525" s="18" t="n"/>
      <c r="C525" s="19" t="n"/>
      <c r="D525" s="19" t="n"/>
      <c r="E525" s="20" t="n"/>
      <c r="F525" s="19" t="n"/>
      <c r="G525" s="21" t="n"/>
      <c r="H525" s="22" t="n"/>
      <c r="I525" s="22" t="n"/>
      <c r="J525" s="22" t="n"/>
      <c r="K525" s="19" t="n"/>
      <c r="L525" s="19" t="n"/>
      <c r="M525" s="19" t="n"/>
      <c r="N525" s="19" t="n"/>
      <c r="O525" s="23">
        <f>IF(J525="","",H525+I525)</f>
        <v/>
      </c>
      <c r="P525" s="23">
        <f>IF(J525="","",J525-O525)</f>
        <v/>
      </c>
      <c r="Q525" s="24">
        <f>IF(OR(J525="",J525=0),"",P525/J525)</f>
        <v/>
      </c>
      <c r="R525" s="25">
        <f>IF(OR(A525="",B525=""),"",B525-A525)</f>
        <v/>
      </c>
      <c r="S525" s="26">
        <f>IF(B525="","",YEAR(B525))</f>
        <v/>
      </c>
      <c r="T525" s="27">
        <f>IF(B525="","",IF(OR(F525="Electric",F525="Plug-in",F525="Hibrid"),1,0))</f>
        <v/>
      </c>
    </row>
    <row r="526">
      <c r="A526" s="18" t="n"/>
      <c r="B526" s="18" t="n"/>
      <c r="C526" s="19" t="n"/>
      <c r="D526" s="19" t="n"/>
      <c r="E526" s="20" t="n"/>
      <c r="F526" s="19" t="n"/>
      <c r="G526" s="21" t="n"/>
      <c r="H526" s="22" t="n"/>
      <c r="I526" s="22" t="n"/>
      <c r="J526" s="22" t="n"/>
      <c r="K526" s="19" t="n"/>
      <c r="L526" s="19" t="n"/>
      <c r="M526" s="19" t="n"/>
      <c r="N526" s="19" t="n"/>
      <c r="O526" s="23">
        <f>IF(J526="","",H526+I526)</f>
        <v/>
      </c>
      <c r="P526" s="23">
        <f>IF(J526="","",J526-O526)</f>
        <v/>
      </c>
      <c r="Q526" s="24">
        <f>IF(OR(J526="",J526=0),"",P526/J526)</f>
        <v/>
      </c>
      <c r="R526" s="25">
        <f>IF(OR(A526="",B526=""),"",B526-A526)</f>
        <v/>
      </c>
      <c r="S526" s="26">
        <f>IF(B526="","",YEAR(B526))</f>
        <v/>
      </c>
      <c r="T526" s="27">
        <f>IF(B526="","",IF(OR(F526="Electric",F526="Plug-in",F526="Hibrid"),1,0))</f>
        <v/>
      </c>
    </row>
    <row r="527">
      <c r="A527" s="18" t="n"/>
      <c r="B527" s="18" t="n"/>
      <c r="C527" s="19" t="n"/>
      <c r="D527" s="19" t="n"/>
      <c r="E527" s="20" t="n"/>
      <c r="F527" s="19" t="n"/>
      <c r="G527" s="21" t="n"/>
      <c r="H527" s="22" t="n"/>
      <c r="I527" s="22" t="n"/>
      <c r="J527" s="22" t="n"/>
      <c r="K527" s="19" t="n"/>
      <c r="L527" s="19" t="n"/>
      <c r="M527" s="19" t="n"/>
      <c r="N527" s="19" t="n"/>
      <c r="O527" s="23">
        <f>IF(J527="","",H527+I527)</f>
        <v/>
      </c>
      <c r="P527" s="23">
        <f>IF(J527="","",J527-O527)</f>
        <v/>
      </c>
      <c r="Q527" s="24">
        <f>IF(OR(J527="",J527=0),"",P527/J527)</f>
        <v/>
      </c>
      <c r="R527" s="25">
        <f>IF(OR(A527="",B527=""),"",B527-A527)</f>
        <v/>
      </c>
      <c r="S527" s="26">
        <f>IF(B527="","",YEAR(B527))</f>
        <v/>
      </c>
      <c r="T527" s="27">
        <f>IF(B527="","",IF(OR(F527="Electric",F527="Plug-in",F527="Hibrid"),1,0))</f>
        <v/>
      </c>
    </row>
    <row r="528">
      <c r="A528" s="18" t="n"/>
      <c r="B528" s="18" t="n"/>
      <c r="C528" s="19" t="n"/>
      <c r="D528" s="19" t="n"/>
      <c r="E528" s="20" t="n"/>
      <c r="F528" s="19" t="n"/>
      <c r="G528" s="21" t="n"/>
      <c r="H528" s="22" t="n"/>
      <c r="I528" s="22" t="n"/>
      <c r="J528" s="22" t="n"/>
      <c r="K528" s="19" t="n"/>
      <c r="L528" s="19" t="n"/>
      <c r="M528" s="19" t="n"/>
      <c r="N528" s="19" t="n"/>
      <c r="O528" s="23">
        <f>IF(J528="","",H528+I528)</f>
        <v/>
      </c>
      <c r="P528" s="23">
        <f>IF(J528="","",J528-O528)</f>
        <v/>
      </c>
      <c r="Q528" s="24">
        <f>IF(OR(J528="",J528=0),"",P528/J528)</f>
        <v/>
      </c>
      <c r="R528" s="25">
        <f>IF(OR(A528="",B528=""),"",B528-A528)</f>
        <v/>
      </c>
      <c r="S528" s="26">
        <f>IF(B528="","",YEAR(B528))</f>
        <v/>
      </c>
      <c r="T528" s="27">
        <f>IF(B528="","",IF(OR(F528="Electric",F528="Plug-in",F528="Hibrid"),1,0))</f>
        <v/>
      </c>
    </row>
    <row r="529">
      <c r="A529" s="18" t="n"/>
      <c r="B529" s="18" t="n"/>
      <c r="C529" s="19" t="n"/>
      <c r="D529" s="19" t="n"/>
      <c r="E529" s="20" t="n"/>
      <c r="F529" s="19" t="n"/>
      <c r="G529" s="21" t="n"/>
      <c r="H529" s="22" t="n"/>
      <c r="I529" s="22" t="n"/>
      <c r="J529" s="22" t="n"/>
      <c r="K529" s="19" t="n"/>
      <c r="L529" s="19" t="n"/>
      <c r="M529" s="19" t="n"/>
      <c r="N529" s="19" t="n"/>
      <c r="O529" s="23">
        <f>IF(J529="","",H529+I529)</f>
        <v/>
      </c>
      <c r="P529" s="23">
        <f>IF(J529="","",J529-O529)</f>
        <v/>
      </c>
      <c r="Q529" s="24">
        <f>IF(OR(J529="",J529=0),"",P529/J529)</f>
        <v/>
      </c>
      <c r="R529" s="25">
        <f>IF(OR(A529="",B529=""),"",B529-A529)</f>
        <v/>
      </c>
      <c r="S529" s="26">
        <f>IF(B529="","",YEAR(B529))</f>
        <v/>
      </c>
      <c r="T529" s="27">
        <f>IF(B529="","",IF(OR(F529="Electric",F529="Plug-in",F529="Hibrid"),1,0))</f>
        <v/>
      </c>
    </row>
    <row r="530">
      <c r="A530" s="18" t="n"/>
      <c r="B530" s="18" t="n"/>
      <c r="C530" s="19" t="n"/>
      <c r="D530" s="19" t="n"/>
      <c r="E530" s="20" t="n"/>
      <c r="F530" s="19" t="n"/>
      <c r="G530" s="21" t="n"/>
      <c r="H530" s="22" t="n"/>
      <c r="I530" s="22" t="n"/>
      <c r="J530" s="22" t="n"/>
      <c r="K530" s="19" t="n"/>
      <c r="L530" s="19" t="n"/>
      <c r="M530" s="19" t="n"/>
      <c r="N530" s="19" t="n"/>
      <c r="O530" s="23">
        <f>IF(J530="","",H530+I530)</f>
        <v/>
      </c>
      <c r="P530" s="23">
        <f>IF(J530="","",J530-O530)</f>
        <v/>
      </c>
      <c r="Q530" s="24">
        <f>IF(OR(J530="",J530=0),"",P530/J530)</f>
        <v/>
      </c>
      <c r="R530" s="25">
        <f>IF(OR(A530="",B530=""),"",B530-A530)</f>
        <v/>
      </c>
      <c r="S530" s="26">
        <f>IF(B530="","",YEAR(B530))</f>
        <v/>
      </c>
      <c r="T530" s="27">
        <f>IF(B530="","",IF(OR(F530="Electric",F530="Plug-in",F530="Hibrid"),1,0))</f>
        <v/>
      </c>
    </row>
    <row r="531">
      <c r="A531" s="18" t="n"/>
      <c r="B531" s="18" t="n"/>
      <c r="C531" s="19" t="n"/>
      <c r="D531" s="19" t="n"/>
      <c r="E531" s="20" t="n"/>
      <c r="F531" s="19" t="n"/>
      <c r="G531" s="21" t="n"/>
      <c r="H531" s="22" t="n"/>
      <c r="I531" s="22" t="n"/>
      <c r="J531" s="22" t="n"/>
      <c r="K531" s="19" t="n"/>
      <c r="L531" s="19" t="n"/>
      <c r="M531" s="19" t="n"/>
      <c r="N531" s="19" t="n"/>
      <c r="O531" s="23">
        <f>IF(J531="","",H531+I531)</f>
        <v/>
      </c>
      <c r="P531" s="23">
        <f>IF(J531="","",J531-O531)</f>
        <v/>
      </c>
      <c r="Q531" s="24">
        <f>IF(OR(J531="",J531=0),"",P531/J531)</f>
        <v/>
      </c>
      <c r="R531" s="25">
        <f>IF(OR(A531="",B531=""),"",B531-A531)</f>
        <v/>
      </c>
      <c r="S531" s="26">
        <f>IF(B531="","",YEAR(B531))</f>
        <v/>
      </c>
      <c r="T531" s="27">
        <f>IF(B531="","",IF(OR(F531="Electric",F531="Plug-in",F531="Hibrid"),1,0))</f>
        <v/>
      </c>
    </row>
    <row r="532">
      <c r="A532" s="18" t="n"/>
      <c r="B532" s="18" t="n"/>
      <c r="C532" s="19" t="n"/>
      <c r="D532" s="19" t="n"/>
      <c r="E532" s="20" t="n"/>
      <c r="F532" s="19" t="n"/>
      <c r="G532" s="21" t="n"/>
      <c r="H532" s="22" t="n"/>
      <c r="I532" s="22" t="n"/>
      <c r="J532" s="22" t="n"/>
      <c r="K532" s="19" t="n"/>
      <c r="L532" s="19" t="n"/>
      <c r="M532" s="19" t="n"/>
      <c r="N532" s="19" t="n"/>
      <c r="O532" s="23">
        <f>IF(J532="","",H532+I532)</f>
        <v/>
      </c>
      <c r="P532" s="23">
        <f>IF(J532="","",J532-O532)</f>
        <v/>
      </c>
      <c r="Q532" s="24">
        <f>IF(OR(J532="",J532=0),"",P532/J532)</f>
        <v/>
      </c>
      <c r="R532" s="25">
        <f>IF(OR(A532="",B532=""),"",B532-A532)</f>
        <v/>
      </c>
      <c r="S532" s="26">
        <f>IF(B532="","",YEAR(B532))</f>
        <v/>
      </c>
      <c r="T532" s="27">
        <f>IF(B532="","",IF(OR(F532="Electric",F532="Plug-in",F532="Hibrid"),1,0))</f>
        <v/>
      </c>
    </row>
    <row r="533">
      <c r="A533" s="18" t="n"/>
      <c r="B533" s="18" t="n"/>
      <c r="C533" s="19" t="n"/>
      <c r="D533" s="19" t="n"/>
      <c r="E533" s="20" t="n"/>
      <c r="F533" s="19" t="n"/>
      <c r="G533" s="21" t="n"/>
      <c r="H533" s="22" t="n"/>
      <c r="I533" s="22" t="n"/>
      <c r="J533" s="22" t="n"/>
      <c r="K533" s="19" t="n"/>
      <c r="L533" s="19" t="n"/>
      <c r="M533" s="19" t="n"/>
      <c r="N533" s="19" t="n"/>
      <c r="O533" s="23">
        <f>IF(J533="","",H533+I533)</f>
        <v/>
      </c>
      <c r="P533" s="23">
        <f>IF(J533="","",J533-O533)</f>
        <v/>
      </c>
      <c r="Q533" s="24">
        <f>IF(OR(J533="",J533=0),"",P533/J533)</f>
        <v/>
      </c>
      <c r="R533" s="25">
        <f>IF(OR(A533="",B533=""),"",B533-A533)</f>
        <v/>
      </c>
      <c r="S533" s="26">
        <f>IF(B533="","",YEAR(B533))</f>
        <v/>
      </c>
      <c r="T533" s="27">
        <f>IF(B533="","",IF(OR(F533="Electric",F533="Plug-in",F533="Hibrid"),1,0))</f>
        <v/>
      </c>
    </row>
    <row r="534">
      <c r="A534" s="18" t="n"/>
      <c r="B534" s="18" t="n"/>
      <c r="C534" s="19" t="n"/>
      <c r="D534" s="19" t="n"/>
      <c r="E534" s="20" t="n"/>
      <c r="F534" s="19" t="n"/>
      <c r="G534" s="21" t="n"/>
      <c r="H534" s="22" t="n"/>
      <c r="I534" s="22" t="n"/>
      <c r="J534" s="22" t="n"/>
      <c r="K534" s="19" t="n"/>
      <c r="L534" s="19" t="n"/>
      <c r="M534" s="19" t="n"/>
      <c r="N534" s="19" t="n"/>
      <c r="O534" s="23">
        <f>IF(J534="","",H534+I534)</f>
        <v/>
      </c>
      <c r="P534" s="23">
        <f>IF(J534="","",J534-O534)</f>
        <v/>
      </c>
      <c r="Q534" s="24">
        <f>IF(OR(J534="",J534=0),"",P534/J534)</f>
        <v/>
      </c>
      <c r="R534" s="25">
        <f>IF(OR(A534="",B534=""),"",B534-A534)</f>
        <v/>
      </c>
      <c r="S534" s="26">
        <f>IF(B534="","",YEAR(B534))</f>
        <v/>
      </c>
      <c r="T534" s="27">
        <f>IF(B534="","",IF(OR(F534="Electric",F534="Plug-in",F534="Hibrid"),1,0))</f>
        <v/>
      </c>
    </row>
    <row r="535">
      <c r="A535" s="18" t="n"/>
      <c r="B535" s="18" t="n"/>
      <c r="C535" s="19" t="n"/>
      <c r="D535" s="19" t="n"/>
      <c r="E535" s="20" t="n"/>
      <c r="F535" s="19" t="n"/>
      <c r="G535" s="21" t="n"/>
      <c r="H535" s="22" t="n"/>
      <c r="I535" s="22" t="n"/>
      <c r="J535" s="22" t="n"/>
      <c r="K535" s="19" t="n"/>
      <c r="L535" s="19" t="n"/>
      <c r="M535" s="19" t="n"/>
      <c r="N535" s="19" t="n"/>
      <c r="O535" s="23">
        <f>IF(J535="","",H535+I535)</f>
        <v/>
      </c>
      <c r="P535" s="23">
        <f>IF(J535="","",J535-O535)</f>
        <v/>
      </c>
      <c r="Q535" s="24">
        <f>IF(OR(J535="",J535=0),"",P535/J535)</f>
        <v/>
      </c>
      <c r="R535" s="25">
        <f>IF(OR(A535="",B535=""),"",B535-A535)</f>
        <v/>
      </c>
      <c r="S535" s="26">
        <f>IF(B535="","",YEAR(B535))</f>
        <v/>
      </c>
      <c r="T535" s="27">
        <f>IF(B535="","",IF(OR(F535="Electric",F535="Plug-in",F535="Hibrid"),1,0))</f>
        <v/>
      </c>
    </row>
    <row r="536">
      <c r="A536" s="18" t="n"/>
      <c r="B536" s="18" t="n"/>
      <c r="C536" s="19" t="n"/>
      <c r="D536" s="19" t="n"/>
      <c r="E536" s="20" t="n"/>
      <c r="F536" s="19" t="n"/>
      <c r="G536" s="21" t="n"/>
      <c r="H536" s="22" t="n"/>
      <c r="I536" s="22" t="n"/>
      <c r="J536" s="22" t="n"/>
      <c r="K536" s="19" t="n"/>
      <c r="L536" s="19" t="n"/>
      <c r="M536" s="19" t="n"/>
      <c r="N536" s="19" t="n"/>
      <c r="O536" s="23">
        <f>IF(J536="","",H536+I536)</f>
        <v/>
      </c>
      <c r="P536" s="23">
        <f>IF(J536="","",J536-O536)</f>
        <v/>
      </c>
      <c r="Q536" s="24">
        <f>IF(OR(J536="",J536=0),"",P536/J536)</f>
        <v/>
      </c>
      <c r="R536" s="25">
        <f>IF(OR(A536="",B536=""),"",B536-A536)</f>
        <v/>
      </c>
      <c r="S536" s="26">
        <f>IF(B536="","",YEAR(B536))</f>
        <v/>
      </c>
      <c r="T536" s="27">
        <f>IF(B536="","",IF(OR(F536="Electric",F536="Plug-in",F536="Hibrid"),1,0))</f>
        <v/>
      </c>
    </row>
    <row r="537">
      <c r="A537" s="18" t="n"/>
      <c r="B537" s="18" t="n"/>
      <c r="C537" s="19" t="n"/>
      <c r="D537" s="19" t="n"/>
      <c r="E537" s="20" t="n"/>
      <c r="F537" s="19" t="n"/>
      <c r="G537" s="21" t="n"/>
      <c r="H537" s="22" t="n"/>
      <c r="I537" s="22" t="n"/>
      <c r="J537" s="22" t="n"/>
      <c r="K537" s="19" t="n"/>
      <c r="L537" s="19" t="n"/>
      <c r="M537" s="19" t="n"/>
      <c r="N537" s="19" t="n"/>
      <c r="O537" s="23">
        <f>IF(J537="","",H537+I537)</f>
        <v/>
      </c>
      <c r="P537" s="23">
        <f>IF(J537="","",J537-O537)</f>
        <v/>
      </c>
      <c r="Q537" s="24">
        <f>IF(OR(J537="",J537=0),"",P537/J537)</f>
        <v/>
      </c>
      <c r="R537" s="25">
        <f>IF(OR(A537="",B537=""),"",B537-A537)</f>
        <v/>
      </c>
      <c r="S537" s="26">
        <f>IF(B537="","",YEAR(B537))</f>
        <v/>
      </c>
      <c r="T537" s="27">
        <f>IF(B537="","",IF(OR(F537="Electric",F537="Plug-in",F537="Hibrid"),1,0))</f>
        <v/>
      </c>
    </row>
    <row r="538">
      <c r="A538" s="18" t="n"/>
      <c r="B538" s="18" t="n"/>
      <c r="C538" s="19" t="n"/>
      <c r="D538" s="19" t="n"/>
      <c r="E538" s="20" t="n"/>
      <c r="F538" s="19" t="n"/>
      <c r="G538" s="21" t="n"/>
      <c r="H538" s="22" t="n"/>
      <c r="I538" s="22" t="n"/>
      <c r="J538" s="22" t="n"/>
      <c r="K538" s="19" t="n"/>
      <c r="L538" s="19" t="n"/>
      <c r="M538" s="19" t="n"/>
      <c r="N538" s="19" t="n"/>
      <c r="O538" s="23">
        <f>IF(J538="","",H538+I538)</f>
        <v/>
      </c>
      <c r="P538" s="23">
        <f>IF(J538="","",J538-O538)</f>
        <v/>
      </c>
      <c r="Q538" s="24">
        <f>IF(OR(J538="",J538=0),"",P538/J538)</f>
        <v/>
      </c>
      <c r="R538" s="25">
        <f>IF(OR(A538="",B538=""),"",B538-A538)</f>
        <v/>
      </c>
      <c r="S538" s="26">
        <f>IF(B538="","",YEAR(B538))</f>
        <v/>
      </c>
      <c r="T538" s="27">
        <f>IF(B538="","",IF(OR(F538="Electric",F538="Plug-in",F538="Hibrid"),1,0))</f>
        <v/>
      </c>
    </row>
    <row r="539">
      <c r="A539" s="18" t="n"/>
      <c r="B539" s="18" t="n"/>
      <c r="C539" s="19" t="n"/>
      <c r="D539" s="19" t="n"/>
      <c r="E539" s="20" t="n"/>
      <c r="F539" s="19" t="n"/>
      <c r="G539" s="21" t="n"/>
      <c r="H539" s="22" t="n"/>
      <c r="I539" s="22" t="n"/>
      <c r="J539" s="22" t="n"/>
      <c r="K539" s="19" t="n"/>
      <c r="L539" s="19" t="n"/>
      <c r="M539" s="19" t="n"/>
      <c r="N539" s="19" t="n"/>
      <c r="O539" s="23">
        <f>IF(J539="","",H539+I539)</f>
        <v/>
      </c>
      <c r="P539" s="23">
        <f>IF(J539="","",J539-O539)</f>
        <v/>
      </c>
      <c r="Q539" s="24">
        <f>IF(OR(J539="",J539=0),"",P539/J539)</f>
        <v/>
      </c>
      <c r="R539" s="25">
        <f>IF(OR(A539="",B539=""),"",B539-A539)</f>
        <v/>
      </c>
      <c r="S539" s="26">
        <f>IF(B539="","",YEAR(B539))</f>
        <v/>
      </c>
      <c r="T539" s="27">
        <f>IF(B539="","",IF(OR(F539="Electric",F539="Plug-in",F539="Hibrid"),1,0))</f>
        <v/>
      </c>
    </row>
    <row r="540">
      <c r="A540" s="18" t="n"/>
      <c r="B540" s="18" t="n"/>
      <c r="C540" s="19" t="n"/>
      <c r="D540" s="19" t="n"/>
      <c r="E540" s="20" t="n"/>
      <c r="F540" s="19" t="n"/>
      <c r="G540" s="21" t="n"/>
      <c r="H540" s="22" t="n"/>
      <c r="I540" s="22" t="n"/>
      <c r="J540" s="22" t="n"/>
      <c r="K540" s="19" t="n"/>
      <c r="L540" s="19" t="n"/>
      <c r="M540" s="19" t="n"/>
      <c r="N540" s="19" t="n"/>
      <c r="O540" s="23">
        <f>IF(J540="","",H540+I540)</f>
        <v/>
      </c>
      <c r="P540" s="23">
        <f>IF(J540="","",J540-O540)</f>
        <v/>
      </c>
      <c r="Q540" s="24">
        <f>IF(OR(J540="",J540=0),"",P540/J540)</f>
        <v/>
      </c>
      <c r="R540" s="25">
        <f>IF(OR(A540="",B540=""),"",B540-A540)</f>
        <v/>
      </c>
      <c r="S540" s="26">
        <f>IF(B540="","",YEAR(B540))</f>
        <v/>
      </c>
      <c r="T540" s="27">
        <f>IF(B540="","",IF(OR(F540="Electric",F540="Plug-in",F540="Hibrid"),1,0))</f>
        <v/>
      </c>
    </row>
    <row r="541">
      <c r="A541" s="18" t="n"/>
      <c r="B541" s="18" t="n"/>
      <c r="C541" s="19" t="n"/>
      <c r="D541" s="19" t="n"/>
      <c r="E541" s="20" t="n"/>
      <c r="F541" s="19" t="n"/>
      <c r="G541" s="21" t="n"/>
      <c r="H541" s="22" t="n"/>
      <c r="I541" s="22" t="n"/>
      <c r="J541" s="22" t="n"/>
      <c r="K541" s="19" t="n"/>
      <c r="L541" s="19" t="n"/>
      <c r="M541" s="19" t="n"/>
      <c r="N541" s="19" t="n"/>
      <c r="O541" s="23">
        <f>IF(J541="","",H541+I541)</f>
        <v/>
      </c>
      <c r="P541" s="23">
        <f>IF(J541="","",J541-O541)</f>
        <v/>
      </c>
      <c r="Q541" s="24">
        <f>IF(OR(J541="",J541=0),"",P541/J541)</f>
        <v/>
      </c>
      <c r="R541" s="25">
        <f>IF(OR(A541="",B541=""),"",B541-A541)</f>
        <v/>
      </c>
      <c r="S541" s="26">
        <f>IF(B541="","",YEAR(B541))</f>
        <v/>
      </c>
      <c r="T541" s="27">
        <f>IF(B541="","",IF(OR(F541="Electric",F541="Plug-in",F541="Hibrid"),1,0))</f>
        <v/>
      </c>
    </row>
    <row r="542">
      <c r="A542" s="18" t="n"/>
      <c r="B542" s="18" t="n"/>
      <c r="C542" s="19" t="n"/>
      <c r="D542" s="19" t="n"/>
      <c r="E542" s="20" t="n"/>
      <c r="F542" s="19" t="n"/>
      <c r="G542" s="21" t="n"/>
      <c r="H542" s="22" t="n"/>
      <c r="I542" s="22" t="n"/>
      <c r="J542" s="22" t="n"/>
      <c r="K542" s="19" t="n"/>
      <c r="L542" s="19" t="n"/>
      <c r="M542" s="19" t="n"/>
      <c r="N542" s="19" t="n"/>
      <c r="O542" s="23">
        <f>IF(J542="","",H542+I542)</f>
        <v/>
      </c>
      <c r="P542" s="23">
        <f>IF(J542="","",J542-O542)</f>
        <v/>
      </c>
      <c r="Q542" s="24">
        <f>IF(OR(J542="",J542=0),"",P542/J542)</f>
        <v/>
      </c>
      <c r="R542" s="25">
        <f>IF(OR(A542="",B542=""),"",B542-A542)</f>
        <v/>
      </c>
      <c r="S542" s="26">
        <f>IF(B542="","",YEAR(B542))</f>
        <v/>
      </c>
      <c r="T542" s="27">
        <f>IF(B542="","",IF(OR(F542="Electric",F542="Plug-in",F542="Hibrid"),1,0))</f>
        <v/>
      </c>
    </row>
    <row r="543">
      <c r="A543" s="18" t="n"/>
      <c r="B543" s="18" t="n"/>
      <c r="C543" s="19" t="n"/>
      <c r="D543" s="19" t="n"/>
      <c r="E543" s="20" t="n"/>
      <c r="F543" s="19" t="n"/>
      <c r="G543" s="21" t="n"/>
      <c r="H543" s="22" t="n"/>
      <c r="I543" s="22" t="n"/>
      <c r="J543" s="22" t="n"/>
      <c r="K543" s="19" t="n"/>
      <c r="L543" s="19" t="n"/>
      <c r="M543" s="19" t="n"/>
      <c r="N543" s="19" t="n"/>
      <c r="O543" s="23">
        <f>IF(J543="","",H543+I543)</f>
        <v/>
      </c>
      <c r="P543" s="23">
        <f>IF(J543="","",J543-O543)</f>
        <v/>
      </c>
      <c r="Q543" s="24">
        <f>IF(OR(J543="",J543=0),"",P543/J543)</f>
        <v/>
      </c>
      <c r="R543" s="25">
        <f>IF(OR(A543="",B543=""),"",B543-A543)</f>
        <v/>
      </c>
      <c r="S543" s="26">
        <f>IF(B543="","",YEAR(B543))</f>
        <v/>
      </c>
      <c r="T543" s="27">
        <f>IF(B543="","",IF(OR(F543="Electric",F543="Plug-in",F543="Hibrid"),1,0))</f>
        <v/>
      </c>
    </row>
    <row r="544">
      <c r="A544" s="18" t="n"/>
      <c r="B544" s="18" t="n"/>
      <c r="C544" s="19" t="n"/>
      <c r="D544" s="19" t="n"/>
      <c r="E544" s="20" t="n"/>
      <c r="F544" s="19" t="n"/>
      <c r="G544" s="21" t="n"/>
      <c r="H544" s="22" t="n"/>
      <c r="I544" s="22" t="n"/>
      <c r="J544" s="22" t="n"/>
      <c r="K544" s="19" t="n"/>
      <c r="L544" s="19" t="n"/>
      <c r="M544" s="19" t="n"/>
      <c r="N544" s="19" t="n"/>
      <c r="O544" s="23">
        <f>IF(J544="","",H544+I544)</f>
        <v/>
      </c>
      <c r="P544" s="23">
        <f>IF(J544="","",J544-O544)</f>
        <v/>
      </c>
      <c r="Q544" s="24">
        <f>IF(OR(J544="",J544=0),"",P544/J544)</f>
        <v/>
      </c>
      <c r="R544" s="25">
        <f>IF(OR(A544="",B544=""),"",B544-A544)</f>
        <v/>
      </c>
      <c r="S544" s="26">
        <f>IF(B544="","",YEAR(B544))</f>
        <v/>
      </c>
      <c r="T544" s="27">
        <f>IF(B544="","",IF(OR(F544="Electric",F544="Plug-in",F544="Hibrid"),1,0))</f>
        <v/>
      </c>
    </row>
    <row r="545">
      <c r="A545" s="18" t="n"/>
      <c r="B545" s="18" t="n"/>
      <c r="C545" s="19" t="n"/>
      <c r="D545" s="19" t="n"/>
      <c r="E545" s="20" t="n"/>
      <c r="F545" s="19" t="n"/>
      <c r="G545" s="21" t="n"/>
      <c r="H545" s="22" t="n"/>
      <c r="I545" s="22" t="n"/>
      <c r="J545" s="22" t="n"/>
      <c r="K545" s="19" t="n"/>
      <c r="L545" s="19" t="n"/>
      <c r="M545" s="19" t="n"/>
      <c r="N545" s="19" t="n"/>
      <c r="O545" s="23">
        <f>IF(J545="","",H545+I545)</f>
        <v/>
      </c>
      <c r="P545" s="23">
        <f>IF(J545="","",J545-O545)</f>
        <v/>
      </c>
      <c r="Q545" s="24">
        <f>IF(OR(J545="",J545=0),"",P545/J545)</f>
        <v/>
      </c>
      <c r="R545" s="25">
        <f>IF(OR(A545="",B545=""),"",B545-A545)</f>
        <v/>
      </c>
      <c r="S545" s="26">
        <f>IF(B545="","",YEAR(B545))</f>
        <v/>
      </c>
      <c r="T545" s="27">
        <f>IF(B545="","",IF(OR(F545="Electric",F545="Plug-in",F545="Hibrid"),1,0))</f>
        <v/>
      </c>
    </row>
    <row r="546">
      <c r="A546" s="18" t="n"/>
      <c r="B546" s="18" t="n"/>
      <c r="C546" s="19" t="n"/>
      <c r="D546" s="19" t="n"/>
      <c r="E546" s="20" t="n"/>
      <c r="F546" s="19" t="n"/>
      <c r="G546" s="21" t="n"/>
      <c r="H546" s="22" t="n"/>
      <c r="I546" s="22" t="n"/>
      <c r="J546" s="22" t="n"/>
      <c r="K546" s="19" t="n"/>
      <c r="L546" s="19" t="n"/>
      <c r="M546" s="19" t="n"/>
      <c r="N546" s="19" t="n"/>
      <c r="O546" s="23">
        <f>IF(J546="","",H546+I546)</f>
        <v/>
      </c>
      <c r="P546" s="23">
        <f>IF(J546="","",J546-O546)</f>
        <v/>
      </c>
      <c r="Q546" s="24">
        <f>IF(OR(J546="",J546=0),"",P546/J546)</f>
        <v/>
      </c>
      <c r="R546" s="25">
        <f>IF(OR(A546="",B546=""),"",B546-A546)</f>
        <v/>
      </c>
      <c r="S546" s="26">
        <f>IF(B546="","",YEAR(B546))</f>
        <v/>
      </c>
      <c r="T546" s="27">
        <f>IF(B546="","",IF(OR(F546="Electric",F546="Plug-in",F546="Hibrid"),1,0))</f>
        <v/>
      </c>
    </row>
    <row r="547">
      <c r="A547" s="18" t="n"/>
      <c r="B547" s="18" t="n"/>
      <c r="C547" s="19" t="n"/>
      <c r="D547" s="19" t="n"/>
      <c r="E547" s="20" t="n"/>
      <c r="F547" s="19" t="n"/>
      <c r="G547" s="21" t="n"/>
      <c r="H547" s="22" t="n"/>
      <c r="I547" s="22" t="n"/>
      <c r="J547" s="22" t="n"/>
      <c r="K547" s="19" t="n"/>
      <c r="L547" s="19" t="n"/>
      <c r="M547" s="19" t="n"/>
      <c r="N547" s="19" t="n"/>
      <c r="O547" s="23">
        <f>IF(J547="","",H547+I547)</f>
        <v/>
      </c>
      <c r="P547" s="23">
        <f>IF(J547="","",J547-O547)</f>
        <v/>
      </c>
      <c r="Q547" s="24">
        <f>IF(OR(J547="",J547=0),"",P547/J547)</f>
        <v/>
      </c>
      <c r="R547" s="25">
        <f>IF(OR(A547="",B547=""),"",B547-A547)</f>
        <v/>
      </c>
      <c r="S547" s="26">
        <f>IF(B547="","",YEAR(B547))</f>
        <v/>
      </c>
      <c r="T547" s="27">
        <f>IF(B547="","",IF(OR(F547="Electric",F547="Plug-in",F547="Hibrid"),1,0))</f>
        <v/>
      </c>
    </row>
    <row r="548">
      <c r="A548" s="18" t="n"/>
      <c r="B548" s="18" t="n"/>
      <c r="C548" s="19" t="n"/>
      <c r="D548" s="19" t="n"/>
      <c r="E548" s="20" t="n"/>
      <c r="F548" s="19" t="n"/>
      <c r="G548" s="21" t="n"/>
      <c r="H548" s="22" t="n"/>
      <c r="I548" s="22" t="n"/>
      <c r="J548" s="22" t="n"/>
      <c r="K548" s="19" t="n"/>
      <c r="L548" s="19" t="n"/>
      <c r="M548" s="19" t="n"/>
      <c r="N548" s="19" t="n"/>
      <c r="O548" s="23">
        <f>IF(J548="","",H548+I548)</f>
        <v/>
      </c>
      <c r="P548" s="23">
        <f>IF(J548="","",J548-O548)</f>
        <v/>
      </c>
      <c r="Q548" s="24">
        <f>IF(OR(J548="",J548=0),"",P548/J548)</f>
        <v/>
      </c>
      <c r="R548" s="25">
        <f>IF(OR(A548="",B548=""),"",B548-A548)</f>
        <v/>
      </c>
      <c r="S548" s="26">
        <f>IF(B548="","",YEAR(B548))</f>
        <v/>
      </c>
      <c r="T548" s="27">
        <f>IF(B548="","",IF(OR(F548="Electric",F548="Plug-in",F548="Hibrid"),1,0))</f>
        <v/>
      </c>
    </row>
    <row r="549">
      <c r="A549" s="18" t="n"/>
      <c r="B549" s="18" t="n"/>
      <c r="C549" s="19" t="n"/>
      <c r="D549" s="19" t="n"/>
      <c r="E549" s="20" t="n"/>
      <c r="F549" s="19" t="n"/>
      <c r="G549" s="21" t="n"/>
      <c r="H549" s="22" t="n"/>
      <c r="I549" s="22" t="n"/>
      <c r="J549" s="22" t="n"/>
      <c r="K549" s="19" t="n"/>
      <c r="L549" s="19" t="n"/>
      <c r="M549" s="19" t="n"/>
      <c r="N549" s="19" t="n"/>
      <c r="O549" s="23">
        <f>IF(J549="","",H549+I549)</f>
        <v/>
      </c>
      <c r="P549" s="23">
        <f>IF(J549="","",J549-O549)</f>
        <v/>
      </c>
      <c r="Q549" s="24">
        <f>IF(OR(J549="",J549=0),"",P549/J549)</f>
        <v/>
      </c>
      <c r="R549" s="25">
        <f>IF(OR(A549="",B549=""),"",B549-A549)</f>
        <v/>
      </c>
      <c r="S549" s="26">
        <f>IF(B549="","",YEAR(B549))</f>
        <v/>
      </c>
      <c r="T549" s="27">
        <f>IF(B549="","",IF(OR(F549="Electric",F549="Plug-in",F549="Hibrid"),1,0))</f>
        <v/>
      </c>
    </row>
    <row r="550">
      <c r="A550" s="18" t="n"/>
      <c r="B550" s="18" t="n"/>
      <c r="C550" s="19" t="n"/>
      <c r="D550" s="19" t="n"/>
      <c r="E550" s="20" t="n"/>
      <c r="F550" s="19" t="n"/>
      <c r="G550" s="21" t="n"/>
      <c r="H550" s="22" t="n"/>
      <c r="I550" s="22" t="n"/>
      <c r="J550" s="22" t="n"/>
      <c r="K550" s="19" t="n"/>
      <c r="L550" s="19" t="n"/>
      <c r="M550" s="19" t="n"/>
      <c r="N550" s="19" t="n"/>
      <c r="O550" s="23">
        <f>IF(J550="","",H550+I550)</f>
        <v/>
      </c>
      <c r="P550" s="23">
        <f>IF(J550="","",J550-O550)</f>
        <v/>
      </c>
      <c r="Q550" s="24">
        <f>IF(OR(J550="",J550=0),"",P550/J550)</f>
        <v/>
      </c>
      <c r="R550" s="25">
        <f>IF(OR(A550="",B550=""),"",B550-A550)</f>
        <v/>
      </c>
      <c r="S550" s="26">
        <f>IF(B550="","",YEAR(B550))</f>
        <v/>
      </c>
      <c r="T550" s="27">
        <f>IF(B550="","",IF(OR(F550="Electric",F550="Plug-in",F550="Hibrid"),1,0))</f>
        <v/>
      </c>
    </row>
    <row r="551">
      <c r="A551" s="18" t="n"/>
      <c r="B551" s="18" t="n"/>
      <c r="C551" s="19" t="n"/>
      <c r="D551" s="19" t="n"/>
      <c r="E551" s="20" t="n"/>
      <c r="F551" s="19" t="n"/>
      <c r="G551" s="21" t="n"/>
      <c r="H551" s="22" t="n"/>
      <c r="I551" s="22" t="n"/>
      <c r="J551" s="22" t="n"/>
      <c r="K551" s="19" t="n"/>
      <c r="L551" s="19" t="n"/>
      <c r="M551" s="19" t="n"/>
      <c r="N551" s="19" t="n"/>
      <c r="O551" s="23">
        <f>IF(J551="","",H551+I551)</f>
        <v/>
      </c>
      <c r="P551" s="23">
        <f>IF(J551="","",J551-O551)</f>
        <v/>
      </c>
      <c r="Q551" s="24">
        <f>IF(OR(J551="",J551=0),"",P551/J551)</f>
        <v/>
      </c>
      <c r="R551" s="25">
        <f>IF(OR(A551="",B551=""),"",B551-A551)</f>
        <v/>
      </c>
      <c r="S551" s="26">
        <f>IF(B551="","",YEAR(B551))</f>
        <v/>
      </c>
      <c r="T551" s="27">
        <f>IF(B551="","",IF(OR(F551="Electric",F551="Plug-in",F551="Hibrid"),1,0))</f>
        <v/>
      </c>
    </row>
    <row r="552">
      <c r="A552" s="18" t="n"/>
      <c r="B552" s="18" t="n"/>
      <c r="C552" s="19" t="n"/>
      <c r="D552" s="19" t="n"/>
      <c r="E552" s="20" t="n"/>
      <c r="F552" s="19" t="n"/>
      <c r="G552" s="21" t="n"/>
      <c r="H552" s="22" t="n"/>
      <c r="I552" s="22" t="n"/>
      <c r="J552" s="22" t="n"/>
      <c r="K552" s="19" t="n"/>
      <c r="L552" s="19" t="n"/>
      <c r="M552" s="19" t="n"/>
      <c r="N552" s="19" t="n"/>
      <c r="O552" s="23">
        <f>IF(J552="","",H552+I552)</f>
        <v/>
      </c>
      <c r="P552" s="23">
        <f>IF(J552="","",J552-O552)</f>
        <v/>
      </c>
      <c r="Q552" s="24">
        <f>IF(OR(J552="",J552=0),"",P552/J552)</f>
        <v/>
      </c>
      <c r="R552" s="25">
        <f>IF(OR(A552="",B552=""),"",B552-A552)</f>
        <v/>
      </c>
      <c r="S552" s="26">
        <f>IF(B552="","",YEAR(B552))</f>
        <v/>
      </c>
      <c r="T552" s="27">
        <f>IF(B552="","",IF(OR(F552="Electric",F552="Plug-in",F552="Hibrid"),1,0))</f>
        <v/>
      </c>
    </row>
    <row r="553">
      <c r="A553" s="18" t="n"/>
      <c r="B553" s="18" t="n"/>
      <c r="C553" s="19" t="n"/>
      <c r="D553" s="19" t="n"/>
      <c r="E553" s="20" t="n"/>
      <c r="F553" s="19" t="n"/>
      <c r="G553" s="21" t="n"/>
      <c r="H553" s="22" t="n"/>
      <c r="I553" s="22" t="n"/>
      <c r="J553" s="22" t="n"/>
      <c r="K553" s="19" t="n"/>
      <c r="L553" s="19" t="n"/>
      <c r="M553" s="19" t="n"/>
      <c r="N553" s="19" t="n"/>
      <c r="O553" s="23">
        <f>IF(J553="","",H553+I553)</f>
        <v/>
      </c>
      <c r="P553" s="23">
        <f>IF(J553="","",J553-O553)</f>
        <v/>
      </c>
      <c r="Q553" s="24">
        <f>IF(OR(J553="",J553=0),"",P553/J553)</f>
        <v/>
      </c>
      <c r="R553" s="25">
        <f>IF(OR(A553="",B553=""),"",B553-A553)</f>
        <v/>
      </c>
      <c r="S553" s="26">
        <f>IF(B553="","",YEAR(B553))</f>
        <v/>
      </c>
      <c r="T553" s="27">
        <f>IF(B553="","",IF(OR(F553="Electric",F553="Plug-in",F553="Hibrid"),1,0))</f>
        <v/>
      </c>
    </row>
    <row r="554">
      <c r="A554" s="18" t="n"/>
      <c r="B554" s="18" t="n"/>
      <c r="C554" s="19" t="n"/>
      <c r="D554" s="19" t="n"/>
      <c r="E554" s="20" t="n"/>
      <c r="F554" s="19" t="n"/>
      <c r="G554" s="21" t="n"/>
      <c r="H554" s="22" t="n"/>
      <c r="I554" s="22" t="n"/>
      <c r="J554" s="22" t="n"/>
      <c r="K554" s="19" t="n"/>
      <c r="L554" s="19" t="n"/>
      <c r="M554" s="19" t="n"/>
      <c r="N554" s="19" t="n"/>
      <c r="O554" s="23">
        <f>IF(J554="","",H554+I554)</f>
        <v/>
      </c>
      <c r="P554" s="23">
        <f>IF(J554="","",J554-O554)</f>
        <v/>
      </c>
      <c r="Q554" s="24">
        <f>IF(OR(J554="",J554=0),"",P554/J554)</f>
        <v/>
      </c>
      <c r="R554" s="25">
        <f>IF(OR(A554="",B554=""),"",B554-A554)</f>
        <v/>
      </c>
      <c r="S554" s="26">
        <f>IF(B554="","",YEAR(B554))</f>
        <v/>
      </c>
      <c r="T554" s="27">
        <f>IF(B554="","",IF(OR(F554="Electric",F554="Plug-in",F554="Hibrid"),1,0))</f>
        <v/>
      </c>
    </row>
    <row r="555">
      <c r="A555" s="18" t="n"/>
      <c r="B555" s="18" t="n"/>
      <c r="C555" s="19" t="n"/>
      <c r="D555" s="19" t="n"/>
      <c r="E555" s="20" t="n"/>
      <c r="F555" s="19" t="n"/>
      <c r="G555" s="21" t="n"/>
      <c r="H555" s="22" t="n"/>
      <c r="I555" s="22" t="n"/>
      <c r="J555" s="22" t="n"/>
      <c r="K555" s="19" t="n"/>
      <c r="L555" s="19" t="n"/>
      <c r="M555" s="19" t="n"/>
      <c r="N555" s="19" t="n"/>
      <c r="O555" s="23">
        <f>IF(J555="","",H555+I555)</f>
        <v/>
      </c>
      <c r="P555" s="23">
        <f>IF(J555="","",J555-O555)</f>
        <v/>
      </c>
      <c r="Q555" s="24">
        <f>IF(OR(J555="",J555=0),"",P555/J555)</f>
        <v/>
      </c>
      <c r="R555" s="25">
        <f>IF(OR(A555="",B555=""),"",B555-A555)</f>
        <v/>
      </c>
      <c r="S555" s="26">
        <f>IF(B555="","",YEAR(B555))</f>
        <v/>
      </c>
      <c r="T555" s="27">
        <f>IF(B555="","",IF(OR(F555="Electric",F555="Plug-in",F555="Hibrid"),1,0))</f>
        <v/>
      </c>
    </row>
    <row r="556">
      <c r="A556" s="18" t="n"/>
      <c r="B556" s="18" t="n"/>
      <c r="C556" s="19" t="n"/>
      <c r="D556" s="19" t="n"/>
      <c r="E556" s="20" t="n"/>
      <c r="F556" s="19" t="n"/>
      <c r="G556" s="21" t="n"/>
      <c r="H556" s="22" t="n"/>
      <c r="I556" s="22" t="n"/>
      <c r="J556" s="22" t="n"/>
      <c r="K556" s="19" t="n"/>
      <c r="L556" s="19" t="n"/>
      <c r="M556" s="19" t="n"/>
      <c r="N556" s="19" t="n"/>
      <c r="O556" s="23">
        <f>IF(J556="","",H556+I556)</f>
        <v/>
      </c>
      <c r="P556" s="23">
        <f>IF(J556="","",J556-O556)</f>
        <v/>
      </c>
      <c r="Q556" s="24">
        <f>IF(OR(J556="",J556=0),"",P556/J556)</f>
        <v/>
      </c>
      <c r="R556" s="25">
        <f>IF(OR(A556="",B556=""),"",B556-A556)</f>
        <v/>
      </c>
      <c r="S556" s="26">
        <f>IF(B556="","",YEAR(B556))</f>
        <v/>
      </c>
      <c r="T556" s="27">
        <f>IF(B556="","",IF(OR(F556="Electric",F556="Plug-in",F556="Hibrid"),1,0))</f>
        <v/>
      </c>
    </row>
    <row r="557">
      <c r="A557" s="18" t="n"/>
      <c r="B557" s="18" t="n"/>
      <c r="C557" s="19" t="n"/>
      <c r="D557" s="19" t="n"/>
      <c r="E557" s="20" t="n"/>
      <c r="F557" s="19" t="n"/>
      <c r="G557" s="21" t="n"/>
      <c r="H557" s="22" t="n"/>
      <c r="I557" s="22" t="n"/>
      <c r="J557" s="22" t="n"/>
      <c r="K557" s="19" t="n"/>
      <c r="L557" s="19" t="n"/>
      <c r="M557" s="19" t="n"/>
      <c r="N557" s="19" t="n"/>
      <c r="O557" s="23">
        <f>IF(J557="","",H557+I557)</f>
        <v/>
      </c>
      <c r="P557" s="23">
        <f>IF(J557="","",J557-O557)</f>
        <v/>
      </c>
      <c r="Q557" s="24">
        <f>IF(OR(J557="",J557=0),"",P557/J557)</f>
        <v/>
      </c>
      <c r="R557" s="25">
        <f>IF(OR(A557="",B557=""),"",B557-A557)</f>
        <v/>
      </c>
      <c r="S557" s="26">
        <f>IF(B557="","",YEAR(B557))</f>
        <v/>
      </c>
      <c r="T557" s="27">
        <f>IF(B557="","",IF(OR(F557="Electric",F557="Plug-in",F557="Hibrid"),1,0))</f>
        <v/>
      </c>
    </row>
    <row r="558">
      <c r="A558" s="18" t="n"/>
      <c r="B558" s="18" t="n"/>
      <c r="C558" s="19" t="n"/>
      <c r="D558" s="19" t="n"/>
      <c r="E558" s="20" t="n"/>
      <c r="F558" s="19" t="n"/>
      <c r="G558" s="21" t="n"/>
      <c r="H558" s="22" t="n"/>
      <c r="I558" s="22" t="n"/>
      <c r="J558" s="22" t="n"/>
      <c r="K558" s="19" t="n"/>
      <c r="L558" s="19" t="n"/>
      <c r="M558" s="19" t="n"/>
      <c r="N558" s="19" t="n"/>
      <c r="O558" s="23">
        <f>IF(J558="","",H558+I558)</f>
        <v/>
      </c>
      <c r="P558" s="23">
        <f>IF(J558="","",J558-O558)</f>
        <v/>
      </c>
      <c r="Q558" s="24">
        <f>IF(OR(J558="",J558=0),"",P558/J558)</f>
        <v/>
      </c>
      <c r="R558" s="25">
        <f>IF(OR(A558="",B558=""),"",B558-A558)</f>
        <v/>
      </c>
      <c r="S558" s="26">
        <f>IF(B558="","",YEAR(B558))</f>
        <v/>
      </c>
      <c r="T558" s="27">
        <f>IF(B558="","",IF(OR(F558="Electric",F558="Plug-in",F558="Hibrid"),1,0))</f>
        <v/>
      </c>
    </row>
    <row r="559">
      <c r="A559" s="18" t="n"/>
      <c r="B559" s="18" t="n"/>
      <c r="C559" s="19" t="n"/>
      <c r="D559" s="19" t="n"/>
      <c r="E559" s="20" t="n"/>
      <c r="F559" s="19" t="n"/>
      <c r="G559" s="21" t="n"/>
      <c r="H559" s="22" t="n"/>
      <c r="I559" s="22" t="n"/>
      <c r="J559" s="22" t="n"/>
      <c r="K559" s="19" t="n"/>
      <c r="L559" s="19" t="n"/>
      <c r="M559" s="19" t="n"/>
      <c r="N559" s="19" t="n"/>
      <c r="O559" s="23">
        <f>IF(J559="","",H559+I559)</f>
        <v/>
      </c>
      <c r="P559" s="23">
        <f>IF(J559="","",J559-O559)</f>
        <v/>
      </c>
      <c r="Q559" s="24">
        <f>IF(OR(J559="",J559=0),"",P559/J559)</f>
        <v/>
      </c>
      <c r="R559" s="25">
        <f>IF(OR(A559="",B559=""),"",B559-A559)</f>
        <v/>
      </c>
      <c r="S559" s="26">
        <f>IF(B559="","",YEAR(B559))</f>
        <v/>
      </c>
      <c r="T559" s="27">
        <f>IF(B559="","",IF(OR(F559="Electric",F559="Plug-in",F559="Hibrid"),1,0))</f>
        <v/>
      </c>
    </row>
    <row r="560">
      <c r="A560" s="18" t="n"/>
      <c r="B560" s="18" t="n"/>
      <c r="C560" s="19" t="n"/>
      <c r="D560" s="19" t="n"/>
      <c r="E560" s="20" t="n"/>
      <c r="F560" s="19" t="n"/>
      <c r="G560" s="21" t="n"/>
      <c r="H560" s="22" t="n"/>
      <c r="I560" s="22" t="n"/>
      <c r="J560" s="22" t="n"/>
      <c r="K560" s="19" t="n"/>
      <c r="L560" s="19" t="n"/>
      <c r="M560" s="19" t="n"/>
      <c r="N560" s="19" t="n"/>
      <c r="O560" s="23">
        <f>IF(J560="","",H560+I560)</f>
        <v/>
      </c>
      <c r="P560" s="23">
        <f>IF(J560="","",J560-O560)</f>
        <v/>
      </c>
      <c r="Q560" s="24">
        <f>IF(OR(J560="",J560=0),"",P560/J560)</f>
        <v/>
      </c>
      <c r="R560" s="25">
        <f>IF(OR(A560="",B560=""),"",B560-A560)</f>
        <v/>
      </c>
      <c r="S560" s="26">
        <f>IF(B560="","",YEAR(B560))</f>
        <v/>
      </c>
      <c r="T560" s="27">
        <f>IF(B560="","",IF(OR(F560="Electric",F560="Plug-in",F560="Hibrid"),1,0))</f>
        <v/>
      </c>
    </row>
    <row r="561">
      <c r="A561" s="18" t="n"/>
      <c r="B561" s="18" t="n"/>
      <c r="C561" s="19" t="n"/>
      <c r="D561" s="19" t="n"/>
      <c r="E561" s="20" t="n"/>
      <c r="F561" s="19" t="n"/>
      <c r="G561" s="21" t="n"/>
      <c r="H561" s="22" t="n"/>
      <c r="I561" s="22" t="n"/>
      <c r="J561" s="22" t="n"/>
      <c r="K561" s="19" t="n"/>
      <c r="L561" s="19" t="n"/>
      <c r="M561" s="19" t="n"/>
      <c r="N561" s="19" t="n"/>
      <c r="O561" s="23">
        <f>IF(J561="","",H561+I561)</f>
        <v/>
      </c>
      <c r="P561" s="23">
        <f>IF(J561="","",J561-O561)</f>
        <v/>
      </c>
      <c r="Q561" s="24">
        <f>IF(OR(J561="",J561=0),"",P561/J561)</f>
        <v/>
      </c>
      <c r="R561" s="25">
        <f>IF(OR(A561="",B561=""),"",B561-A561)</f>
        <v/>
      </c>
      <c r="S561" s="26">
        <f>IF(B561="","",YEAR(B561))</f>
        <v/>
      </c>
      <c r="T561" s="27">
        <f>IF(B561="","",IF(OR(F561="Electric",F561="Plug-in",F561="Hibrid"),1,0))</f>
        <v/>
      </c>
    </row>
    <row r="562">
      <c r="A562" s="18" t="n"/>
      <c r="B562" s="18" t="n"/>
      <c r="C562" s="19" t="n"/>
      <c r="D562" s="19" t="n"/>
      <c r="E562" s="20" t="n"/>
      <c r="F562" s="19" t="n"/>
      <c r="G562" s="21" t="n"/>
      <c r="H562" s="22" t="n"/>
      <c r="I562" s="22" t="n"/>
      <c r="J562" s="22" t="n"/>
      <c r="K562" s="19" t="n"/>
      <c r="L562" s="19" t="n"/>
      <c r="M562" s="19" t="n"/>
      <c r="N562" s="19" t="n"/>
      <c r="O562" s="23">
        <f>IF(J562="","",H562+I562)</f>
        <v/>
      </c>
      <c r="P562" s="23">
        <f>IF(J562="","",J562-O562)</f>
        <v/>
      </c>
      <c r="Q562" s="24">
        <f>IF(OR(J562="",J562=0),"",P562/J562)</f>
        <v/>
      </c>
      <c r="R562" s="25">
        <f>IF(OR(A562="",B562=""),"",B562-A562)</f>
        <v/>
      </c>
      <c r="S562" s="26">
        <f>IF(B562="","",YEAR(B562))</f>
        <v/>
      </c>
      <c r="T562" s="27">
        <f>IF(B562="","",IF(OR(F562="Electric",F562="Plug-in",F562="Hibrid"),1,0))</f>
        <v/>
      </c>
    </row>
    <row r="563">
      <c r="A563" s="18" t="n"/>
      <c r="B563" s="18" t="n"/>
      <c r="C563" s="19" t="n"/>
      <c r="D563" s="19" t="n"/>
      <c r="E563" s="20" t="n"/>
      <c r="F563" s="19" t="n"/>
      <c r="G563" s="21" t="n"/>
      <c r="H563" s="22" t="n"/>
      <c r="I563" s="22" t="n"/>
      <c r="J563" s="22" t="n"/>
      <c r="K563" s="19" t="n"/>
      <c r="L563" s="19" t="n"/>
      <c r="M563" s="19" t="n"/>
      <c r="N563" s="19" t="n"/>
      <c r="O563" s="23">
        <f>IF(J563="","",H563+I563)</f>
        <v/>
      </c>
      <c r="P563" s="23">
        <f>IF(J563="","",J563-O563)</f>
        <v/>
      </c>
      <c r="Q563" s="24">
        <f>IF(OR(J563="",J563=0),"",P563/J563)</f>
        <v/>
      </c>
      <c r="R563" s="25">
        <f>IF(OR(A563="",B563=""),"",B563-A563)</f>
        <v/>
      </c>
      <c r="S563" s="26">
        <f>IF(B563="","",YEAR(B563))</f>
        <v/>
      </c>
      <c r="T563" s="27">
        <f>IF(B563="","",IF(OR(F563="Electric",F563="Plug-in",F563="Hibrid"),1,0))</f>
        <v/>
      </c>
    </row>
    <row r="564">
      <c r="A564" s="18" t="n"/>
      <c r="B564" s="18" t="n"/>
      <c r="C564" s="19" t="n"/>
      <c r="D564" s="19" t="n"/>
      <c r="E564" s="20" t="n"/>
      <c r="F564" s="19" t="n"/>
      <c r="G564" s="21" t="n"/>
      <c r="H564" s="22" t="n"/>
      <c r="I564" s="22" t="n"/>
      <c r="J564" s="22" t="n"/>
      <c r="K564" s="19" t="n"/>
      <c r="L564" s="19" t="n"/>
      <c r="M564" s="19" t="n"/>
      <c r="N564" s="19" t="n"/>
      <c r="O564" s="23">
        <f>IF(J564="","",H564+I564)</f>
        <v/>
      </c>
      <c r="P564" s="23">
        <f>IF(J564="","",J564-O564)</f>
        <v/>
      </c>
      <c r="Q564" s="24">
        <f>IF(OR(J564="",J564=0),"",P564/J564)</f>
        <v/>
      </c>
      <c r="R564" s="25">
        <f>IF(OR(A564="",B564=""),"",B564-A564)</f>
        <v/>
      </c>
      <c r="S564" s="26">
        <f>IF(B564="","",YEAR(B564))</f>
        <v/>
      </c>
      <c r="T564" s="27">
        <f>IF(B564="","",IF(OR(F564="Electric",F564="Plug-in",F564="Hibrid"),1,0))</f>
        <v/>
      </c>
    </row>
    <row r="565">
      <c r="A565" s="18" t="n"/>
      <c r="B565" s="18" t="n"/>
      <c r="C565" s="19" t="n"/>
      <c r="D565" s="19" t="n"/>
      <c r="E565" s="20" t="n"/>
      <c r="F565" s="19" t="n"/>
      <c r="G565" s="21" t="n"/>
      <c r="H565" s="22" t="n"/>
      <c r="I565" s="22" t="n"/>
      <c r="J565" s="22" t="n"/>
      <c r="K565" s="19" t="n"/>
      <c r="L565" s="19" t="n"/>
      <c r="M565" s="19" t="n"/>
      <c r="N565" s="19" t="n"/>
      <c r="O565" s="23">
        <f>IF(J565="","",H565+I565)</f>
        <v/>
      </c>
      <c r="P565" s="23">
        <f>IF(J565="","",J565-O565)</f>
        <v/>
      </c>
      <c r="Q565" s="24">
        <f>IF(OR(J565="",J565=0),"",P565/J565)</f>
        <v/>
      </c>
      <c r="R565" s="25">
        <f>IF(OR(A565="",B565=""),"",B565-A565)</f>
        <v/>
      </c>
      <c r="S565" s="26">
        <f>IF(B565="","",YEAR(B565))</f>
        <v/>
      </c>
      <c r="T565" s="27">
        <f>IF(B565="","",IF(OR(F565="Electric",F565="Plug-in",F565="Hibrid"),1,0))</f>
        <v/>
      </c>
    </row>
    <row r="566">
      <c r="A566" s="18" t="n"/>
      <c r="B566" s="18" t="n"/>
      <c r="C566" s="19" t="n"/>
      <c r="D566" s="19" t="n"/>
      <c r="E566" s="20" t="n"/>
      <c r="F566" s="19" t="n"/>
      <c r="G566" s="21" t="n"/>
      <c r="H566" s="22" t="n"/>
      <c r="I566" s="22" t="n"/>
      <c r="J566" s="22" t="n"/>
      <c r="K566" s="19" t="n"/>
      <c r="L566" s="19" t="n"/>
      <c r="M566" s="19" t="n"/>
      <c r="N566" s="19" t="n"/>
      <c r="O566" s="23">
        <f>IF(J566="","",H566+I566)</f>
        <v/>
      </c>
      <c r="P566" s="23">
        <f>IF(J566="","",J566-O566)</f>
        <v/>
      </c>
      <c r="Q566" s="24">
        <f>IF(OR(J566="",J566=0),"",P566/J566)</f>
        <v/>
      </c>
      <c r="R566" s="25">
        <f>IF(OR(A566="",B566=""),"",B566-A566)</f>
        <v/>
      </c>
      <c r="S566" s="26">
        <f>IF(B566="","",YEAR(B566))</f>
        <v/>
      </c>
      <c r="T566" s="27">
        <f>IF(B566="","",IF(OR(F566="Electric",F566="Plug-in",F566="Hibrid"),1,0))</f>
        <v/>
      </c>
    </row>
    <row r="567">
      <c r="A567" s="18" t="n"/>
      <c r="B567" s="18" t="n"/>
      <c r="C567" s="19" t="n"/>
      <c r="D567" s="19" t="n"/>
      <c r="E567" s="20" t="n"/>
      <c r="F567" s="19" t="n"/>
      <c r="G567" s="21" t="n"/>
      <c r="H567" s="22" t="n"/>
      <c r="I567" s="22" t="n"/>
      <c r="J567" s="22" t="n"/>
      <c r="K567" s="19" t="n"/>
      <c r="L567" s="19" t="n"/>
      <c r="M567" s="19" t="n"/>
      <c r="N567" s="19" t="n"/>
      <c r="O567" s="23">
        <f>IF(J567="","",H567+I567)</f>
        <v/>
      </c>
      <c r="P567" s="23">
        <f>IF(J567="","",J567-O567)</f>
        <v/>
      </c>
      <c r="Q567" s="24">
        <f>IF(OR(J567="",J567=0),"",P567/J567)</f>
        <v/>
      </c>
      <c r="R567" s="25">
        <f>IF(OR(A567="",B567=""),"",B567-A567)</f>
        <v/>
      </c>
      <c r="S567" s="26">
        <f>IF(B567="","",YEAR(B567))</f>
        <v/>
      </c>
      <c r="T567" s="27">
        <f>IF(B567="","",IF(OR(F567="Electric",F567="Plug-in",F567="Hibrid"),1,0))</f>
        <v/>
      </c>
    </row>
    <row r="568">
      <c r="A568" s="18" t="n"/>
      <c r="B568" s="18" t="n"/>
      <c r="C568" s="19" t="n"/>
      <c r="D568" s="19" t="n"/>
      <c r="E568" s="20" t="n"/>
      <c r="F568" s="19" t="n"/>
      <c r="G568" s="21" t="n"/>
      <c r="H568" s="22" t="n"/>
      <c r="I568" s="22" t="n"/>
      <c r="J568" s="22" t="n"/>
      <c r="K568" s="19" t="n"/>
      <c r="L568" s="19" t="n"/>
      <c r="M568" s="19" t="n"/>
      <c r="N568" s="19" t="n"/>
      <c r="O568" s="23">
        <f>IF(J568="","",H568+I568)</f>
        <v/>
      </c>
      <c r="P568" s="23">
        <f>IF(J568="","",J568-O568)</f>
        <v/>
      </c>
      <c r="Q568" s="24">
        <f>IF(OR(J568="",J568=0),"",P568/J568)</f>
        <v/>
      </c>
      <c r="R568" s="25">
        <f>IF(OR(A568="",B568=""),"",B568-A568)</f>
        <v/>
      </c>
      <c r="S568" s="26">
        <f>IF(B568="","",YEAR(B568))</f>
        <v/>
      </c>
      <c r="T568" s="27">
        <f>IF(B568="","",IF(OR(F568="Electric",F568="Plug-in",F568="Hibrid"),1,0))</f>
        <v/>
      </c>
    </row>
    <row r="569">
      <c r="A569" s="18" t="n"/>
      <c r="B569" s="18" t="n"/>
      <c r="C569" s="19" t="n"/>
      <c r="D569" s="19" t="n"/>
      <c r="E569" s="20" t="n"/>
      <c r="F569" s="19" t="n"/>
      <c r="G569" s="21" t="n"/>
      <c r="H569" s="22" t="n"/>
      <c r="I569" s="22" t="n"/>
      <c r="J569" s="22" t="n"/>
      <c r="K569" s="19" t="n"/>
      <c r="L569" s="19" t="n"/>
      <c r="M569" s="19" t="n"/>
      <c r="N569" s="19" t="n"/>
      <c r="O569" s="23">
        <f>IF(J569="","",H569+I569)</f>
        <v/>
      </c>
      <c r="P569" s="23">
        <f>IF(J569="","",J569-O569)</f>
        <v/>
      </c>
      <c r="Q569" s="24">
        <f>IF(OR(J569="",J569=0),"",P569/J569)</f>
        <v/>
      </c>
      <c r="R569" s="25">
        <f>IF(OR(A569="",B569=""),"",B569-A569)</f>
        <v/>
      </c>
      <c r="S569" s="26">
        <f>IF(B569="","",YEAR(B569))</f>
        <v/>
      </c>
      <c r="T569" s="27">
        <f>IF(B569="","",IF(OR(F569="Electric",F569="Plug-in",F569="Hibrid"),1,0))</f>
        <v/>
      </c>
    </row>
    <row r="570">
      <c r="A570" s="18" t="n"/>
      <c r="B570" s="18" t="n"/>
      <c r="C570" s="19" t="n"/>
      <c r="D570" s="19" t="n"/>
      <c r="E570" s="20" t="n"/>
      <c r="F570" s="19" t="n"/>
      <c r="G570" s="21" t="n"/>
      <c r="H570" s="22" t="n"/>
      <c r="I570" s="22" t="n"/>
      <c r="J570" s="22" t="n"/>
      <c r="K570" s="19" t="n"/>
      <c r="L570" s="19" t="n"/>
      <c r="M570" s="19" t="n"/>
      <c r="N570" s="19" t="n"/>
      <c r="O570" s="23">
        <f>IF(J570="","",H570+I570)</f>
        <v/>
      </c>
      <c r="P570" s="23">
        <f>IF(J570="","",J570-O570)</f>
        <v/>
      </c>
      <c r="Q570" s="24">
        <f>IF(OR(J570="",J570=0),"",P570/J570)</f>
        <v/>
      </c>
      <c r="R570" s="25">
        <f>IF(OR(A570="",B570=""),"",B570-A570)</f>
        <v/>
      </c>
      <c r="S570" s="26">
        <f>IF(B570="","",YEAR(B570))</f>
        <v/>
      </c>
      <c r="T570" s="27">
        <f>IF(B570="","",IF(OR(F570="Electric",F570="Plug-in",F570="Hibrid"),1,0))</f>
        <v/>
      </c>
    </row>
    <row r="571">
      <c r="A571" s="18" t="n"/>
      <c r="B571" s="18" t="n"/>
      <c r="C571" s="19" t="n"/>
      <c r="D571" s="19" t="n"/>
      <c r="E571" s="20" t="n"/>
      <c r="F571" s="19" t="n"/>
      <c r="G571" s="21" t="n"/>
      <c r="H571" s="22" t="n"/>
      <c r="I571" s="22" t="n"/>
      <c r="J571" s="22" t="n"/>
      <c r="K571" s="19" t="n"/>
      <c r="L571" s="19" t="n"/>
      <c r="M571" s="19" t="n"/>
      <c r="N571" s="19" t="n"/>
      <c r="O571" s="23">
        <f>IF(J571="","",H571+I571)</f>
        <v/>
      </c>
      <c r="P571" s="23">
        <f>IF(J571="","",J571-O571)</f>
        <v/>
      </c>
      <c r="Q571" s="24">
        <f>IF(OR(J571="",J571=0),"",P571/J571)</f>
        <v/>
      </c>
      <c r="R571" s="25">
        <f>IF(OR(A571="",B571=""),"",B571-A571)</f>
        <v/>
      </c>
      <c r="S571" s="26">
        <f>IF(B571="","",YEAR(B571))</f>
        <v/>
      </c>
      <c r="T571" s="27">
        <f>IF(B571="","",IF(OR(F571="Electric",F571="Plug-in",F571="Hibrid"),1,0))</f>
        <v/>
      </c>
    </row>
    <row r="572">
      <c r="A572" s="18" t="n"/>
      <c r="B572" s="18" t="n"/>
      <c r="C572" s="19" t="n"/>
      <c r="D572" s="19" t="n"/>
      <c r="E572" s="20" t="n"/>
      <c r="F572" s="19" t="n"/>
      <c r="G572" s="21" t="n"/>
      <c r="H572" s="22" t="n"/>
      <c r="I572" s="22" t="n"/>
      <c r="J572" s="22" t="n"/>
      <c r="K572" s="19" t="n"/>
      <c r="L572" s="19" t="n"/>
      <c r="M572" s="19" t="n"/>
      <c r="N572" s="19" t="n"/>
      <c r="O572" s="23">
        <f>IF(J572="","",H572+I572)</f>
        <v/>
      </c>
      <c r="P572" s="23">
        <f>IF(J572="","",J572-O572)</f>
        <v/>
      </c>
      <c r="Q572" s="24">
        <f>IF(OR(J572="",J572=0),"",P572/J572)</f>
        <v/>
      </c>
      <c r="R572" s="25">
        <f>IF(OR(A572="",B572=""),"",B572-A572)</f>
        <v/>
      </c>
      <c r="S572" s="26">
        <f>IF(B572="","",YEAR(B572))</f>
        <v/>
      </c>
      <c r="T572" s="27">
        <f>IF(B572="","",IF(OR(F572="Electric",F572="Plug-in",F572="Hibrid"),1,0))</f>
        <v/>
      </c>
    </row>
    <row r="573">
      <c r="A573" s="18" t="n"/>
      <c r="B573" s="18" t="n"/>
      <c r="C573" s="19" t="n"/>
      <c r="D573" s="19" t="n"/>
      <c r="E573" s="20" t="n"/>
      <c r="F573" s="19" t="n"/>
      <c r="G573" s="21" t="n"/>
      <c r="H573" s="22" t="n"/>
      <c r="I573" s="22" t="n"/>
      <c r="J573" s="22" t="n"/>
      <c r="K573" s="19" t="n"/>
      <c r="L573" s="19" t="n"/>
      <c r="M573" s="19" t="n"/>
      <c r="N573" s="19" t="n"/>
      <c r="O573" s="23">
        <f>IF(J573="","",H573+I573)</f>
        <v/>
      </c>
      <c r="P573" s="23">
        <f>IF(J573="","",J573-O573)</f>
        <v/>
      </c>
      <c r="Q573" s="24">
        <f>IF(OR(J573="",J573=0),"",P573/J573)</f>
        <v/>
      </c>
      <c r="R573" s="25">
        <f>IF(OR(A573="",B573=""),"",B573-A573)</f>
        <v/>
      </c>
      <c r="S573" s="26">
        <f>IF(B573="","",YEAR(B573))</f>
        <v/>
      </c>
      <c r="T573" s="27">
        <f>IF(B573="","",IF(OR(F573="Electric",F573="Plug-in",F573="Hibrid"),1,0))</f>
        <v/>
      </c>
    </row>
    <row r="574">
      <c r="A574" s="18" t="n"/>
      <c r="B574" s="18" t="n"/>
      <c r="C574" s="19" t="n"/>
      <c r="D574" s="19" t="n"/>
      <c r="E574" s="20" t="n"/>
      <c r="F574" s="19" t="n"/>
      <c r="G574" s="21" t="n"/>
      <c r="H574" s="22" t="n"/>
      <c r="I574" s="22" t="n"/>
      <c r="J574" s="22" t="n"/>
      <c r="K574" s="19" t="n"/>
      <c r="L574" s="19" t="n"/>
      <c r="M574" s="19" t="n"/>
      <c r="N574" s="19" t="n"/>
      <c r="O574" s="23">
        <f>IF(J574="","",H574+I574)</f>
        <v/>
      </c>
      <c r="P574" s="23">
        <f>IF(J574="","",J574-O574)</f>
        <v/>
      </c>
      <c r="Q574" s="24">
        <f>IF(OR(J574="",J574=0),"",P574/J574)</f>
        <v/>
      </c>
      <c r="R574" s="25">
        <f>IF(OR(A574="",B574=""),"",B574-A574)</f>
        <v/>
      </c>
      <c r="S574" s="26">
        <f>IF(B574="","",YEAR(B574))</f>
        <v/>
      </c>
      <c r="T574" s="27">
        <f>IF(B574="","",IF(OR(F574="Electric",F574="Plug-in",F574="Hibrid"),1,0))</f>
        <v/>
      </c>
    </row>
    <row r="575">
      <c r="A575" s="18" t="n"/>
      <c r="B575" s="18" t="n"/>
      <c r="C575" s="19" t="n"/>
      <c r="D575" s="19" t="n"/>
      <c r="E575" s="20" t="n"/>
      <c r="F575" s="19" t="n"/>
      <c r="G575" s="21" t="n"/>
      <c r="H575" s="22" t="n"/>
      <c r="I575" s="22" t="n"/>
      <c r="J575" s="22" t="n"/>
      <c r="K575" s="19" t="n"/>
      <c r="L575" s="19" t="n"/>
      <c r="M575" s="19" t="n"/>
      <c r="N575" s="19" t="n"/>
      <c r="O575" s="23">
        <f>IF(J575="","",H575+I575)</f>
        <v/>
      </c>
      <c r="P575" s="23">
        <f>IF(J575="","",J575-O575)</f>
        <v/>
      </c>
      <c r="Q575" s="24">
        <f>IF(OR(J575="",J575=0),"",P575/J575)</f>
        <v/>
      </c>
      <c r="R575" s="25">
        <f>IF(OR(A575="",B575=""),"",B575-A575)</f>
        <v/>
      </c>
      <c r="S575" s="26">
        <f>IF(B575="","",YEAR(B575))</f>
        <v/>
      </c>
      <c r="T575" s="27">
        <f>IF(B575="","",IF(OR(F575="Electric",F575="Plug-in",F575="Hibrid"),1,0))</f>
        <v/>
      </c>
    </row>
    <row r="576">
      <c r="A576" s="18" t="n"/>
      <c r="B576" s="18" t="n"/>
      <c r="C576" s="19" t="n"/>
      <c r="D576" s="19" t="n"/>
      <c r="E576" s="20" t="n"/>
      <c r="F576" s="19" t="n"/>
      <c r="G576" s="21" t="n"/>
      <c r="H576" s="22" t="n"/>
      <c r="I576" s="22" t="n"/>
      <c r="J576" s="22" t="n"/>
      <c r="K576" s="19" t="n"/>
      <c r="L576" s="19" t="n"/>
      <c r="M576" s="19" t="n"/>
      <c r="N576" s="19" t="n"/>
      <c r="O576" s="23">
        <f>IF(J576="","",H576+I576)</f>
        <v/>
      </c>
      <c r="P576" s="23">
        <f>IF(J576="","",J576-O576)</f>
        <v/>
      </c>
      <c r="Q576" s="24">
        <f>IF(OR(J576="",J576=0),"",P576/J576)</f>
        <v/>
      </c>
      <c r="R576" s="25">
        <f>IF(OR(A576="",B576=""),"",B576-A576)</f>
        <v/>
      </c>
      <c r="S576" s="26">
        <f>IF(B576="","",YEAR(B576))</f>
        <v/>
      </c>
      <c r="T576" s="27">
        <f>IF(B576="","",IF(OR(F576="Electric",F576="Plug-in",F576="Hibrid"),1,0))</f>
        <v/>
      </c>
    </row>
    <row r="577">
      <c r="A577" s="18" t="n"/>
      <c r="B577" s="18" t="n"/>
      <c r="C577" s="19" t="n"/>
      <c r="D577" s="19" t="n"/>
      <c r="E577" s="20" t="n"/>
      <c r="F577" s="19" t="n"/>
      <c r="G577" s="21" t="n"/>
      <c r="H577" s="22" t="n"/>
      <c r="I577" s="22" t="n"/>
      <c r="J577" s="22" t="n"/>
      <c r="K577" s="19" t="n"/>
      <c r="L577" s="19" t="n"/>
      <c r="M577" s="19" t="n"/>
      <c r="N577" s="19" t="n"/>
      <c r="O577" s="23">
        <f>IF(J577="","",H577+I577)</f>
        <v/>
      </c>
      <c r="P577" s="23">
        <f>IF(J577="","",J577-O577)</f>
        <v/>
      </c>
      <c r="Q577" s="24">
        <f>IF(OR(J577="",J577=0),"",P577/J577)</f>
        <v/>
      </c>
      <c r="R577" s="25">
        <f>IF(OR(A577="",B577=""),"",B577-A577)</f>
        <v/>
      </c>
      <c r="S577" s="26">
        <f>IF(B577="","",YEAR(B577))</f>
        <v/>
      </c>
      <c r="T577" s="27">
        <f>IF(B577="","",IF(OR(F577="Electric",F577="Plug-in",F577="Hibrid"),1,0))</f>
        <v/>
      </c>
    </row>
    <row r="578">
      <c r="A578" s="18" t="n"/>
      <c r="B578" s="18" t="n"/>
      <c r="C578" s="19" t="n"/>
      <c r="D578" s="19" t="n"/>
      <c r="E578" s="20" t="n"/>
      <c r="F578" s="19" t="n"/>
      <c r="G578" s="21" t="n"/>
      <c r="H578" s="22" t="n"/>
      <c r="I578" s="22" t="n"/>
      <c r="J578" s="22" t="n"/>
      <c r="K578" s="19" t="n"/>
      <c r="L578" s="19" t="n"/>
      <c r="M578" s="19" t="n"/>
      <c r="N578" s="19" t="n"/>
      <c r="O578" s="23">
        <f>IF(J578="","",H578+I578)</f>
        <v/>
      </c>
      <c r="P578" s="23">
        <f>IF(J578="","",J578-O578)</f>
        <v/>
      </c>
      <c r="Q578" s="24">
        <f>IF(OR(J578="",J578=0),"",P578/J578)</f>
        <v/>
      </c>
      <c r="R578" s="25">
        <f>IF(OR(A578="",B578=""),"",B578-A578)</f>
        <v/>
      </c>
      <c r="S578" s="26">
        <f>IF(B578="","",YEAR(B578))</f>
        <v/>
      </c>
      <c r="T578" s="27">
        <f>IF(B578="","",IF(OR(F578="Electric",F578="Plug-in",F578="Hibrid"),1,0))</f>
        <v/>
      </c>
    </row>
    <row r="579">
      <c r="A579" s="18" t="n"/>
      <c r="B579" s="18" t="n"/>
      <c r="C579" s="19" t="n"/>
      <c r="D579" s="19" t="n"/>
      <c r="E579" s="20" t="n"/>
      <c r="F579" s="19" t="n"/>
      <c r="G579" s="21" t="n"/>
      <c r="H579" s="22" t="n"/>
      <c r="I579" s="22" t="n"/>
      <c r="J579" s="22" t="n"/>
      <c r="K579" s="19" t="n"/>
      <c r="L579" s="19" t="n"/>
      <c r="M579" s="19" t="n"/>
      <c r="N579" s="19" t="n"/>
      <c r="O579" s="23">
        <f>IF(J579="","",H579+I579)</f>
        <v/>
      </c>
      <c r="P579" s="23">
        <f>IF(J579="","",J579-O579)</f>
        <v/>
      </c>
      <c r="Q579" s="24">
        <f>IF(OR(J579="",J579=0),"",P579/J579)</f>
        <v/>
      </c>
      <c r="R579" s="25">
        <f>IF(OR(A579="",B579=""),"",B579-A579)</f>
        <v/>
      </c>
      <c r="S579" s="26">
        <f>IF(B579="","",YEAR(B579))</f>
        <v/>
      </c>
      <c r="T579" s="27">
        <f>IF(B579="","",IF(OR(F579="Electric",F579="Plug-in",F579="Hibrid"),1,0))</f>
        <v/>
      </c>
    </row>
    <row r="580">
      <c r="A580" s="18" t="n"/>
      <c r="B580" s="18" t="n"/>
      <c r="C580" s="19" t="n"/>
      <c r="D580" s="19" t="n"/>
      <c r="E580" s="20" t="n"/>
      <c r="F580" s="19" t="n"/>
      <c r="G580" s="21" t="n"/>
      <c r="H580" s="22" t="n"/>
      <c r="I580" s="22" t="n"/>
      <c r="J580" s="22" t="n"/>
      <c r="K580" s="19" t="n"/>
      <c r="L580" s="19" t="n"/>
      <c r="M580" s="19" t="n"/>
      <c r="N580" s="19" t="n"/>
      <c r="O580" s="23">
        <f>IF(J580="","",H580+I580)</f>
        <v/>
      </c>
      <c r="P580" s="23">
        <f>IF(J580="","",J580-O580)</f>
        <v/>
      </c>
      <c r="Q580" s="24">
        <f>IF(OR(J580="",J580=0),"",P580/J580)</f>
        <v/>
      </c>
      <c r="R580" s="25">
        <f>IF(OR(A580="",B580=""),"",B580-A580)</f>
        <v/>
      </c>
      <c r="S580" s="26">
        <f>IF(B580="","",YEAR(B580))</f>
        <v/>
      </c>
      <c r="T580" s="27">
        <f>IF(B580="","",IF(OR(F580="Electric",F580="Plug-in",F580="Hibrid"),1,0))</f>
        <v/>
      </c>
    </row>
    <row r="581">
      <c r="A581" s="18" t="n"/>
      <c r="B581" s="18" t="n"/>
      <c r="C581" s="19" t="n"/>
      <c r="D581" s="19" t="n"/>
      <c r="E581" s="20" t="n"/>
      <c r="F581" s="19" t="n"/>
      <c r="G581" s="21" t="n"/>
      <c r="H581" s="22" t="n"/>
      <c r="I581" s="22" t="n"/>
      <c r="J581" s="22" t="n"/>
      <c r="K581" s="19" t="n"/>
      <c r="L581" s="19" t="n"/>
      <c r="M581" s="19" t="n"/>
      <c r="N581" s="19" t="n"/>
      <c r="O581" s="23">
        <f>IF(J581="","",H581+I581)</f>
        <v/>
      </c>
      <c r="P581" s="23">
        <f>IF(J581="","",J581-O581)</f>
        <v/>
      </c>
      <c r="Q581" s="24">
        <f>IF(OR(J581="",J581=0),"",P581/J581)</f>
        <v/>
      </c>
      <c r="R581" s="25">
        <f>IF(OR(A581="",B581=""),"",B581-A581)</f>
        <v/>
      </c>
      <c r="S581" s="26">
        <f>IF(B581="","",YEAR(B581))</f>
        <v/>
      </c>
      <c r="T581" s="27">
        <f>IF(B581="","",IF(OR(F581="Electric",F581="Plug-in",F581="Hibrid"),1,0))</f>
        <v/>
      </c>
    </row>
    <row r="582">
      <c r="A582" s="18" t="n"/>
      <c r="B582" s="18" t="n"/>
      <c r="C582" s="19" t="n"/>
      <c r="D582" s="19" t="n"/>
      <c r="E582" s="20" t="n"/>
      <c r="F582" s="19" t="n"/>
      <c r="G582" s="21" t="n"/>
      <c r="H582" s="22" t="n"/>
      <c r="I582" s="22" t="n"/>
      <c r="J582" s="22" t="n"/>
      <c r="K582" s="19" t="n"/>
      <c r="L582" s="19" t="n"/>
      <c r="M582" s="19" t="n"/>
      <c r="N582" s="19" t="n"/>
      <c r="O582" s="23">
        <f>IF(J582="","",H582+I582)</f>
        <v/>
      </c>
      <c r="P582" s="23">
        <f>IF(J582="","",J582-O582)</f>
        <v/>
      </c>
      <c r="Q582" s="24">
        <f>IF(OR(J582="",J582=0),"",P582/J582)</f>
        <v/>
      </c>
      <c r="R582" s="25">
        <f>IF(OR(A582="",B582=""),"",B582-A582)</f>
        <v/>
      </c>
      <c r="S582" s="26">
        <f>IF(B582="","",YEAR(B582))</f>
        <v/>
      </c>
      <c r="T582" s="27">
        <f>IF(B582="","",IF(OR(F582="Electric",F582="Plug-in",F582="Hibrid"),1,0))</f>
        <v/>
      </c>
    </row>
    <row r="583">
      <c r="A583" s="18" t="n"/>
      <c r="B583" s="18" t="n"/>
      <c r="C583" s="19" t="n"/>
      <c r="D583" s="19" t="n"/>
      <c r="E583" s="20" t="n"/>
      <c r="F583" s="19" t="n"/>
      <c r="G583" s="21" t="n"/>
      <c r="H583" s="22" t="n"/>
      <c r="I583" s="22" t="n"/>
      <c r="J583" s="22" t="n"/>
      <c r="K583" s="19" t="n"/>
      <c r="L583" s="19" t="n"/>
      <c r="M583" s="19" t="n"/>
      <c r="N583" s="19" t="n"/>
      <c r="O583" s="23">
        <f>IF(J583="","",H583+I583)</f>
        <v/>
      </c>
      <c r="P583" s="23">
        <f>IF(J583="","",J583-O583)</f>
        <v/>
      </c>
      <c r="Q583" s="24">
        <f>IF(OR(J583="",J583=0),"",P583/J583)</f>
        <v/>
      </c>
      <c r="R583" s="25">
        <f>IF(OR(A583="",B583=""),"",B583-A583)</f>
        <v/>
      </c>
      <c r="S583" s="26">
        <f>IF(B583="","",YEAR(B583))</f>
        <v/>
      </c>
      <c r="T583" s="27">
        <f>IF(B583="","",IF(OR(F583="Electric",F583="Plug-in",F583="Hibrid"),1,0))</f>
        <v/>
      </c>
    </row>
    <row r="584">
      <c r="A584" s="18" t="n"/>
      <c r="B584" s="18" t="n"/>
      <c r="C584" s="19" t="n"/>
      <c r="D584" s="19" t="n"/>
      <c r="E584" s="20" t="n"/>
      <c r="F584" s="19" t="n"/>
      <c r="G584" s="21" t="n"/>
      <c r="H584" s="22" t="n"/>
      <c r="I584" s="22" t="n"/>
      <c r="J584" s="22" t="n"/>
      <c r="K584" s="19" t="n"/>
      <c r="L584" s="19" t="n"/>
      <c r="M584" s="19" t="n"/>
      <c r="N584" s="19" t="n"/>
      <c r="O584" s="23">
        <f>IF(J584="","",H584+I584)</f>
        <v/>
      </c>
      <c r="P584" s="23">
        <f>IF(J584="","",J584-O584)</f>
        <v/>
      </c>
      <c r="Q584" s="24">
        <f>IF(OR(J584="",J584=0),"",P584/J584)</f>
        <v/>
      </c>
      <c r="R584" s="25">
        <f>IF(OR(A584="",B584=""),"",B584-A584)</f>
        <v/>
      </c>
      <c r="S584" s="26">
        <f>IF(B584="","",YEAR(B584))</f>
        <v/>
      </c>
      <c r="T584" s="27">
        <f>IF(B584="","",IF(OR(F584="Electric",F584="Plug-in",F584="Hibrid"),1,0))</f>
        <v/>
      </c>
    </row>
    <row r="585">
      <c r="A585" s="18" t="n"/>
      <c r="B585" s="18" t="n"/>
      <c r="C585" s="19" t="n"/>
      <c r="D585" s="19" t="n"/>
      <c r="E585" s="20" t="n"/>
      <c r="F585" s="19" t="n"/>
      <c r="G585" s="21" t="n"/>
      <c r="H585" s="22" t="n"/>
      <c r="I585" s="22" t="n"/>
      <c r="J585" s="22" t="n"/>
      <c r="K585" s="19" t="n"/>
      <c r="L585" s="19" t="n"/>
      <c r="M585" s="19" t="n"/>
      <c r="N585" s="19" t="n"/>
      <c r="O585" s="23">
        <f>IF(J585="","",H585+I585)</f>
        <v/>
      </c>
      <c r="P585" s="23">
        <f>IF(J585="","",J585-O585)</f>
        <v/>
      </c>
      <c r="Q585" s="24">
        <f>IF(OR(J585="",J585=0),"",P585/J585)</f>
        <v/>
      </c>
      <c r="R585" s="25">
        <f>IF(OR(A585="",B585=""),"",B585-A585)</f>
        <v/>
      </c>
      <c r="S585" s="26">
        <f>IF(B585="","",YEAR(B585))</f>
        <v/>
      </c>
      <c r="T585" s="27">
        <f>IF(B585="","",IF(OR(F585="Electric",F585="Plug-in",F585="Hibrid"),1,0))</f>
        <v/>
      </c>
    </row>
    <row r="586">
      <c r="A586" s="18" t="n"/>
      <c r="B586" s="18" t="n"/>
      <c r="C586" s="19" t="n"/>
      <c r="D586" s="19" t="n"/>
      <c r="E586" s="20" t="n"/>
      <c r="F586" s="19" t="n"/>
      <c r="G586" s="21" t="n"/>
      <c r="H586" s="22" t="n"/>
      <c r="I586" s="22" t="n"/>
      <c r="J586" s="22" t="n"/>
      <c r="K586" s="19" t="n"/>
      <c r="L586" s="19" t="n"/>
      <c r="M586" s="19" t="n"/>
      <c r="N586" s="19" t="n"/>
      <c r="O586" s="23">
        <f>IF(J586="","",H586+I586)</f>
        <v/>
      </c>
      <c r="P586" s="23">
        <f>IF(J586="","",J586-O586)</f>
        <v/>
      </c>
      <c r="Q586" s="24">
        <f>IF(OR(J586="",J586=0),"",P586/J586)</f>
        <v/>
      </c>
      <c r="R586" s="25">
        <f>IF(OR(A586="",B586=""),"",B586-A586)</f>
        <v/>
      </c>
      <c r="S586" s="26">
        <f>IF(B586="","",YEAR(B586))</f>
        <v/>
      </c>
      <c r="T586" s="27">
        <f>IF(B586="","",IF(OR(F586="Electric",F586="Plug-in",F586="Hibrid"),1,0))</f>
        <v/>
      </c>
    </row>
    <row r="587">
      <c r="A587" s="18" t="n"/>
      <c r="B587" s="18" t="n"/>
      <c r="C587" s="19" t="n"/>
      <c r="D587" s="19" t="n"/>
      <c r="E587" s="20" t="n"/>
      <c r="F587" s="19" t="n"/>
      <c r="G587" s="21" t="n"/>
      <c r="H587" s="22" t="n"/>
      <c r="I587" s="22" t="n"/>
      <c r="J587" s="22" t="n"/>
      <c r="K587" s="19" t="n"/>
      <c r="L587" s="19" t="n"/>
      <c r="M587" s="19" t="n"/>
      <c r="N587" s="19" t="n"/>
      <c r="O587" s="23">
        <f>IF(J587="","",H587+I587)</f>
        <v/>
      </c>
      <c r="P587" s="23">
        <f>IF(J587="","",J587-O587)</f>
        <v/>
      </c>
      <c r="Q587" s="24">
        <f>IF(OR(J587="",J587=0),"",P587/J587)</f>
        <v/>
      </c>
      <c r="R587" s="25">
        <f>IF(OR(A587="",B587=""),"",B587-A587)</f>
        <v/>
      </c>
      <c r="S587" s="26">
        <f>IF(B587="","",YEAR(B587))</f>
        <v/>
      </c>
      <c r="T587" s="27">
        <f>IF(B587="","",IF(OR(F587="Electric",F587="Plug-in",F587="Hibrid"),1,0))</f>
        <v/>
      </c>
    </row>
    <row r="588">
      <c r="A588" s="18" t="n"/>
      <c r="B588" s="18" t="n"/>
      <c r="C588" s="19" t="n"/>
      <c r="D588" s="19" t="n"/>
      <c r="E588" s="20" t="n"/>
      <c r="F588" s="19" t="n"/>
      <c r="G588" s="21" t="n"/>
      <c r="H588" s="22" t="n"/>
      <c r="I588" s="22" t="n"/>
      <c r="J588" s="22" t="n"/>
      <c r="K588" s="19" t="n"/>
      <c r="L588" s="19" t="n"/>
      <c r="M588" s="19" t="n"/>
      <c r="N588" s="19" t="n"/>
      <c r="O588" s="23">
        <f>IF(J588="","",H588+I588)</f>
        <v/>
      </c>
      <c r="P588" s="23">
        <f>IF(J588="","",J588-O588)</f>
        <v/>
      </c>
      <c r="Q588" s="24">
        <f>IF(OR(J588="",J588=0),"",P588/J588)</f>
        <v/>
      </c>
      <c r="R588" s="25">
        <f>IF(OR(A588="",B588=""),"",B588-A588)</f>
        <v/>
      </c>
      <c r="S588" s="26">
        <f>IF(B588="","",YEAR(B588))</f>
        <v/>
      </c>
      <c r="T588" s="27">
        <f>IF(B588="","",IF(OR(F588="Electric",F588="Plug-in",F588="Hibrid"),1,0))</f>
        <v/>
      </c>
    </row>
    <row r="589">
      <c r="A589" s="18" t="n"/>
      <c r="B589" s="18" t="n"/>
      <c r="C589" s="19" t="n"/>
      <c r="D589" s="19" t="n"/>
      <c r="E589" s="20" t="n"/>
      <c r="F589" s="19" t="n"/>
      <c r="G589" s="21" t="n"/>
      <c r="H589" s="22" t="n"/>
      <c r="I589" s="22" t="n"/>
      <c r="J589" s="22" t="n"/>
      <c r="K589" s="19" t="n"/>
      <c r="L589" s="19" t="n"/>
      <c r="M589" s="19" t="n"/>
      <c r="N589" s="19" t="n"/>
      <c r="O589" s="23">
        <f>IF(J589="","",H589+I589)</f>
        <v/>
      </c>
      <c r="P589" s="23">
        <f>IF(J589="","",J589-O589)</f>
        <v/>
      </c>
      <c r="Q589" s="24">
        <f>IF(OR(J589="",J589=0),"",P589/J589)</f>
        <v/>
      </c>
      <c r="R589" s="25">
        <f>IF(OR(A589="",B589=""),"",B589-A589)</f>
        <v/>
      </c>
      <c r="S589" s="26">
        <f>IF(B589="","",YEAR(B589))</f>
        <v/>
      </c>
      <c r="T589" s="27">
        <f>IF(B589="","",IF(OR(F589="Electric",F589="Plug-in",F589="Hibrid"),1,0))</f>
        <v/>
      </c>
    </row>
    <row r="590">
      <c r="A590" s="18" t="n"/>
      <c r="B590" s="18" t="n"/>
      <c r="C590" s="19" t="n"/>
      <c r="D590" s="19" t="n"/>
      <c r="E590" s="20" t="n"/>
      <c r="F590" s="19" t="n"/>
      <c r="G590" s="21" t="n"/>
      <c r="H590" s="22" t="n"/>
      <c r="I590" s="22" t="n"/>
      <c r="J590" s="22" t="n"/>
      <c r="K590" s="19" t="n"/>
      <c r="L590" s="19" t="n"/>
      <c r="M590" s="19" t="n"/>
      <c r="N590" s="19" t="n"/>
      <c r="O590" s="23">
        <f>IF(J590="","",H590+I590)</f>
        <v/>
      </c>
      <c r="P590" s="23">
        <f>IF(J590="","",J590-O590)</f>
        <v/>
      </c>
      <c r="Q590" s="24">
        <f>IF(OR(J590="",J590=0),"",P590/J590)</f>
        <v/>
      </c>
      <c r="R590" s="25">
        <f>IF(OR(A590="",B590=""),"",B590-A590)</f>
        <v/>
      </c>
      <c r="S590" s="26">
        <f>IF(B590="","",YEAR(B590))</f>
        <v/>
      </c>
      <c r="T590" s="27">
        <f>IF(B590="","",IF(OR(F590="Electric",F590="Plug-in",F590="Hibrid"),1,0))</f>
        <v/>
      </c>
    </row>
    <row r="591">
      <c r="A591" s="18" t="n"/>
      <c r="B591" s="18" t="n"/>
      <c r="C591" s="19" t="n"/>
      <c r="D591" s="19" t="n"/>
      <c r="E591" s="20" t="n"/>
      <c r="F591" s="19" t="n"/>
      <c r="G591" s="21" t="n"/>
      <c r="H591" s="22" t="n"/>
      <c r="I591" s="22" t="n"/>
      <c r="J591" s="22" t="n"/>
      <c r="K591" s="19" t="n"/>
      <c r="L591" s="19" t="n"/>
      <c r="M591" s="19" t="n"/>
      <c r="N591" s="19" t="n"/>
      <c r="O591" s="23">
        <f>IF(J591="","",H591+I591)</f>
        <v/>
      </c>
      <c r="P591" s="23">
        <f>IF(J591="","",J591-O591)</f>
        <v/>
      </c>
      <c r="Q591" s="24">
        <f>IF(OR(J591="",J591=0),"",P591/J591)</f>
        <v/>
      </c>
      <c r="R591" s="25">
        <f>IF(OR(A591="",B591=""),"",B591-A591)</f>
        <v/>
      </c>
      <c r="S591" s="26">
        <f>IF(B591="","",YEAR(B591))</f>
        <v/>
      </c>
      <c r="T591" s="27">
        <f>IF(B591="","",IF(OR(F591="Electric",F591="Plug-in",F591="Hibrid"),1,0))</f>
        <v/>
      </c>
    </row>
    <row r="592">
      <c r="A592" s="18" t="n"/>
      <c r="B592" s="18" t="n"/>
      <c r="C592" s="19" t="n"/>
      <c r="D592" s="19" t="n"/>
      <c r="E592" s="20" t="n"/>
      <c r="F592" s="19" t="n"/>
      <c r="G592" s="21" t="n"/>
      <c r="H592" s="22" t="n"/>
      <c r="I592" s="22" t="n"/>
      <c r="J592" s="22" t="n"/>
      <c r="K592" s="19" t="n"/>
      <c r="L592" s="19" t="n"/>
      <c r="M592" s="19" t="n"/>
      <c r="N592" s="19" t="n"/>
      <c r="O592" s="23">
        <f>IF(J592="","",H592+I592)</f>
        <v/>
      </c>
      <c r="P592" s="23">
        <f>IF(J592="","",J592-O592)</f>
        <v/>
      </c>
      <c r="Q592" s="24">
        <f>IF(OR(J592="",J592=0),"",P592/J592)</f>
        <v/>
      </c>
      <c r="R592" s="25">
        <f>IF(OR(A592="",B592=""),"",B592-A592)</f>
        <v/>
      </c>
      <c r="S592" s="26">
        <f>IF(B592="","",YEAR(B592))</f>
        <v/>
      </c>
      <c r="T592" s="27">
        <f>IF(B592="","",IF(OR(F592="Electric",F592="Plug-in",F592="Hibrid"),1,0))</f>
        <v/>
      </c>
    </row>
    <row r="593">
      <c r="A593" s="18" t="n"/>
      <c r="B593" s="18" t="n"/>
      <c r="C593" s="19" t="n"/>
      <c r="D593" s="19" t="n"/>
      <c r="E593" s="20" t="n"/>
      <c r="F593" s="19" t="n"/>
      <c r="G593" s="21" t="n"/>
      <c r="H593" s="22" t="n"/>
      <c r="I593" s="22" t="n"/>
      <c r="J593" s="22" t="n"/>
      <c r="K593" s="19" t="n"/>
      <c r="L593" s="19" t="n"/>
      <c r="M593" s="19" t="n"/>
      <c r="N593" s="19" t="n"/>
      <c r="O593" s="23">
        <f>IF(J593="","",H593+I593)</f>
        <v/>
      </c>
      <c r="P593" s="23">
        <f>IF(J593="","",J593-O593)</f>
        <v/>
      </c>
      <c r="Q593" s="24">
        <f>IF(OR(J593="",J593=0),"",P593/J593)</f>
        <v/>
      </c>
      <c r="R593" s="25">
        <f>IF(OR(A593="",B593=""),"",B593-A593)</f>
        <v/>
      </c>
      <c r="S593" s="26">
        <f>IF(B593="","",YEAR(B593))</f>
        <v/>
      </c>
      <c r="T593" s="27">
        <f>IF(B593="","",IF(OR(F593="Electric",F593="Plug-in",F593="Hibrid"),1,0))</f>
        <v/>
      </c>
    </row>
    <row r="594">
      <c r="A594" s="18" t="n"/>
      <c r="B594" s="18" t="n"/>
      <c r="C594" s="19" t="n"/>
      <c r="D594" s="19" t="n"/>
      <c r="E594" s="20" t="n"/>
      <c r="F594" s="19" t="n"/>
      <c r="G594" s="21" t="n"/>
      <c r="H594" s="22" t="n"/>
      <c r="I594" s="22" t="n"/>
      <c r="J594" s="22" t="n"/>
      <c r="K594" s="19" t="n"/>
      <c r="L594" s="19" t="n"/>
      <c r="M594" s="19" t="n"/>
      <c r="N594" s="19" t="n"/>
      <c r="O594" s="23">
        <f>IF(J594="","",H594+I594)</f>
        <v/>
      </c>
      <c r="P594" s="23">
        <f>IF(J594="","",J594-O594)</f>
        <v/>
      </c>
      <c r="Q594" s="24">
        <f>IF(OR(J594="",J594=0),"",P594/J594)</f>
        <v/>
      </c>
      <c r="R594" s="25">
        <f>IF(OR(A594="",B594=""),"",B594-A594)</f>
        <v/>
      </c>
      <c r="S594" s="26">
        <f>IF(B594="","",YEAR(B594))</f>
        <v/>
      </c>
      <c r="T594" s="27">
        <f>IF(B594="","",IF(OR(F594="Electric",F594="Plug-in",F594="Hibrid"),1,0))</f>
        <v/>
      </c>
    </row>
    <row r="595">
      <c r="A595" s="18" t="n"/>
      <c r="B595" s="18" t="n"/>
      <c r="C595" s="19" t="n"/>
      <c r="D595" s="19" t="n"/>
      <c r="E595" s="20" t="n"/>
      <c r="F595" s="19" t="n"/>
      <c r="G595" s="21" t="n"/>
      <c r="H595" s="22" t="n"/>
      <c r="I595" s="22" t="n"/>
      <c r="J595" s="22" t="n"/>
      <c r="K595" s="19" t="n"/>
      <c r="L595" s="19" t="n"/>
      <c r="M595" s="19" t="n"/>
      <c r="N595" s="19" t="n"/>
      <c r="O595" s="23">
        <f>IF(J595="","",H595+I595)</f>
        <v/>
      </c>
      <c r="P595" s="23">
        <f>IF(J595="","",J595-O595)</f>
        <v/>
      </c>
      <c r="Q595" s="24">
        <f>IF(OR(J595="",J595=0),"",P595/J595)</f>
        <v/>
      </c>
      <c r="R595" s="25">
        <f>IF(OR(A595="",B595=""),"",B595-A595)</f>
        <v/>
      </c>
      <c r="S595" s="26">
        <f>IF(B595="","",YEAR(B595))</f>
        <v/>
      </c>
      <c r="T595" s="27">
        <f>IF(B595="","",IF(OR(F595="Electric",F595="Plug-in",F595="Hibrid"),1,0))</f>
        <v/>
      </c>
    </row>
    <row r="596">
      <c r="A596" s="18" t="n"/>
      <c r="B596" s="18" t="n"/>
      <c r="C596" s="19" t="n"/>
      <c r="D596" s="19" t="n"/>
      <c r="E596" s="20" t="n"/>
      <c r="F596" s="19" t="n"/>
      <c r="G596" s="21" t="n"/>
      <c r="H596" s="22" t="n"/>
      <c r="I596" s="22" t="n"/>
      <c r="J596" s="22" t="n"/>
      <c r="K596" s="19" t="n"/>
      <c r="L596" s="19" t="n"/>
      <c r="M596" s="19" t="n"/>
      <c r="N596" s="19" t="n"/>
      <c r="O596" s="23">
        <f>IF(J596="","",H596+I596)</f>
        <v/>
      </c>
      <c r="P596" s="23">
        <f>IF(J596="","",J596-O596)</f>
        <v/>
      </c>
      <c r="Q596" s="24">
        <f>IF(OR(J596="",J596=0),"",P596/J596)</f>
        <v/>
      </c>
      <c r="R596" s="25">
        <f>IF(OR(A596="",B596=""),"",B596-A596)</f>
        <v/>
      </c>
      <c r="S596" s="26">
        <f>IF(B596="","",YEAR(B596))</f>
        <v/>
      </c>
      <c r="T596" s="27">
        <f>IF(B596="","",IF(OR(F596="Electric",F596="Plug-in",F596="Hibrid"),1,0))</f>
        <v/>
      </c>
    </row>
    <row r="597">
      <c r="A597" s="18" t="n"/>
      <c r="B597" s="18" t="n"/>
      <c r="C597" s="19" t="n"/>
      <c r="D597" s="19" t="n"/>
      <c r="E597" s="20" t="n"/>
      <c r="F597" s="19" t="n"/>
      <c r="G597" s="21" t="n"/>
      <c r="H597" s="22" t="n"/>
      <c r="I597" s="22" t="n"/>
      <c r="J597" s="22" t="n"/>
      <c r="K597" s="19" t="n"/>
      <c r="L597" s="19" t="n"/>
      <c r="M597" s="19" t="n"/>
      <c r="N597" s="19" t="n"/>
      <c r="O597" s="23">
        <f>IF(J597="","",H597+I597)</f>
        <v/>
      </c>
      <c r="P597" s="23">
        <f>IF(J597="","",J597-O597)</f>
        <v/>
      </c>
      <c r="Q597" s="24">
        <f>IF(OR(J597="",J597=0),"",P597/J597)</f>
        <v/>
      </c>
      <c r="R597" s="25">
        <f>IF(OR(A597="",B597=""),"",B597-A597)</f>
        <v/>
      </c>
      <c r="S597" s="26">
        <f>IF(B597="","",YEAR(B597))</f>
        <v/>
      </c>
      <c r="T597" s="27">
        <f>IF(B597="","",IF(OR(F597="Electric",F597="Plug-in",F597="Hibrid"),1,0))</f>
        <v/>
      </c>
    </row>
    <row r="598">
      <c r="A598" s="18" t="n"/>
      <c r="B598" s="18" t="n"/>
      <c r="C598" s="19" t="n"/>
      <c r="D598" s="19" t="n"/>
      <c r="E598" s="20" t="n"/>
      <c r="F598" s="19" t="n"/>
      <c r="G598" s="21" t="n"/>
      <c r="H598" s="22" t="n"/>
      <c r="I598" s="22" t="n"/>
      <c r="J598" s="22" t="n"/>
      <c r="K598" s="19" t="n"/>
      <c r="L598" s="19" t="n"/>
      <c r="M598" s="19" t="n"/>
      <c r="N598" s="19" t="n"/>
      <c r="O598" s="23">
        <f>IF(J598="","",H598+I598)</f>
        <v/>
      </c>
      <c r="P598" s="23">
        <f>IF(J598="","",J598-O598)</f>
        <v/>
      </c>
      <c r="Q598" s="24">
        <f>IF(OR(J598="",J598=0),"",P598/J598)</f>
        <v/>
      </c>
      <c r="R598" s="25">
        <f>IF(OR(A598="",B598=""),"",B598-A598)</f>
        <v/>
      </c>
      <c r="S598" s="26">
        <f>IF(B598="","",YEAR(B598))</f>
        <v/>
      </c>
      <c r="T598" s="27">
        <f>IF(B598="","",IF(OR(F598="Electric",F598="Plug-in",F598="Hibrid"),1,0))</f>
        <v/>
      </c>
    </row>
    <row r="599">
      <c r="A599" s="18" t="n"/>
      <c r="B599" s="18" t="n"/>
      <c r="C599" s="19" t="n"/>
      <c r="D599" s="19" t="n"/>
      <c r="E599" s="20" t="n"/>
      <c r="F599" s="19" t="n"/>
      <c r="G599" s="21" t="n"/>
      <c r="H599" s="22" t="n"/>
      <c r="I599" s="22" t="n"/>
      <c r="J599" s="22" t="n"/>
      <c r="K599" s="19" t="n"/>
      <c r="L599" s="19" t="n"/>
      <c r="M599" s="19" t="n"/>
      <c r="N599" s="19" t="n"/>
      <c r="O599" s="23">
        <f>IF(J599="","",H599+I599)</f>
        <v/>
      </c>
      <c r="P599" s="23">
        <f>IF(J599="","",J599-O599)</f>
        <v/>
      </c>
      <c r="Q599" s="24">
        <f>IF(OR(J599="",J599=0),"",P599/J599)</f>
        <v/>
      </c>
      <c r="R599" s="25">
        <f>IF(OR(A599="",B599=""),"",B599-A599)</f>
        <v/>
      </c>
      <c r="S599" s="26">
        <f>IF(B599="","",YEAR(B599))</f>
        <v/>
      </c>
      <c r="T599" s="27">
        <f>IF(B599="","",IF(OR(F599="Electric",F599="Plug-in",F599="Hibrid"),1,0))</f>
        <v/>
      </c>
    </row>
    <row r="600">
      <c r="A600" s="18" t="n"/>
      <c r="B600" s="18" t="n"/>
      <c r="C600" s="19" t="n"/>
      <c r="D600" s="19" t="n"/>
      <c r="E600" s="20" t="n"/>
      <c r="F600" s="19" t="n"/>
      <c r="G600" s="21" t="n"/>
      <c r="H600" s="22" t="n"/>
      <c r="I600" s="22" t="n"/>
      <c r="J600" s="22" t="n"/>
      <c r="K600" s="19" t="n"/>
      <c r="L600" s="19" t="n"/>
      <c r="M600" s="19" t="n"/>
      <c r="N600" s="19" t="n"/>
      <c r="O600" s="23">
        <f>IF(J600="","",H600+I600)</f>
        <v/>
      </c>
      <c r="P600" s="23">
        <f>IF(J600="","",J600-O600)</f>
        <v/>
      </c>
      <c r="Q600" s="24">
        <f>IF(OR(J600="",J600=0),"",P600/J600)</f>
        <v/>
      </c>
      <c r="R600" s="25">
        <f>IF(OR(A600="",B600=""),"",B600-A600)</f>
        <v/>
      </c>
      <c r="S600" s="26">
        <f>IF(B600="","",YEAR(B600))</f>
        <v/>
      </c>
      <c r="T600" s="27">
        <f>IF(B600="","",IF(OR(F600="Electric",F600="Plug-in",F600="Hibrid"),1,0))</f>
        <v/>
      </c>
    </row>
    <row r="601">
      <c r="A601" s="18" t="n"/>
      <c r="B601" s="18" t="n"/>
      <c r="C601" s="19" t="n"/>
      <c r="D601" s="19" t="n"/>
      <c r="E601" s="20" t="n"/>
      <c r="F601" s="19" t="n"/>
      <c r="G601" s="21" t="n"/>
      <c r="H601" s="22" t="n"/>
      <c r="I601" s="22" t="n"/>
      <c r="J601" s="22" t="n"/>
      <c r="K601" s="19" t="n"/>
      <c r="L601" s="19" t="n"/>
      <c r="M601" s="19" t="n"/>
      <c r="N601" s="19" t="n"/>
      <c r="O601" s="23">
        <f>IF(J601="","",H601+I601)</f>
        <v/>
      </c>
      <c r="P601" s="23">
        <f>IF(J601="","",J601-O601)</f>
        <v/>
      </c>
      <c r="Q601" s="24">
        <f>IF(OR(J601="",J601=0),"",P601/J601)</f>
        <v/>
      </c>
      <c r="R601" s="25">
        <f>IF(OR(A601="",B601=""),"",B601-A601)</f>
        <v/>
      </c>
      <c r="S601" s="26">
        <f>IF(B601="","",YEAR(B601))</f>
        <v/>
      </c>
      <c r="T601" s="27">
        <f>IF(B601="","",IF(OR(F601="Electric",F601="Plug-in",F601="Hibrid"),1,0))</f>
        <v/>
      </c>
    </row>
    <row r="602">
      <c r="A602" s="18" t="n"/>
      <c r="B602" s="18" t="n"/>
      <c r="C602" s="19" t="n"/>
      <c r="D602" s="19" t="n"/>
      <c r="E602" s="20" t="n"/>
      <c r="F602" s="19" t="n"/>
      <c r="G602" s="21" t="n"/>
      <c r="H602" s="22" t="n"/>
      <c r="I602" s="22" t="n"/>
      <c r="J602" s="22" t="n"/>
      <c r="K602" s="19" t="n"/>
      <c r="L602" s="19" t="n"/>
      <c r="M602" s="19" t="n"/>
      <c r="N602" s="19" t="n"/>
      <c r="O602" s="23">
        <f>IF(J602="","",H602+I602)</f>
        <v/>
      </c>
      <c r="P602" s="23">
        <f>IF(J602="","",J602-O602)</f>
        <v/>
      </c>
      <c r="Q602" s="24">
        <f>IF(OR(J602="",J602=0),"",P602/J602)</f>
        <v/>
      </c>
      <c r="R602" s="25">
        <f>IF(OR(A602="",B602=""),"",B602-A602)</f>
        <v/>
      </c>
      <c r="S602" s="26">
        <f>IF(B602="","",YEAR(B602))</f>
        <v/>
      </c>
      <c r="T602" s="27">
        <f>IF(B602="","",IF(OR(F602="Electric",F602="Plug-in",F602="Hibrid"),1,0))</f>
        <v/>
      </c>
    </row>
    <row r="603">
      <c r="A603" s="18" t="n"/>
      <c r="B603" s="18" t="n"/>
      <c r="C603" s="19" t="n"/>
      <c r="D603" s="19" t="n"/>
      <c r="E603" s="20" t="n"/>
      <c r="F603" s="19" t="n"/>
      <c r="G603" s="21" t="n"/>
      <c r="H603" s="22" t="n"/>
      <c r="I603" s="22" t="n"/>
      <c r="J603" s="22" t="n"/>
      <c r="K603" s="19" t="n"/>
      <c r="L603" s="19" t="n"/>
      <c r="M603" s="19" t="n"/>
      <c r="N603" s="19" t="n"/>
      <c r="O603" s="23">
        <f>IF(J603="","",H603+I603)</f>
        <v/>
      </c>
      <c r="P603" s="23">
        <f>IF(J603="","",J603-O603)</f>
        <v/>
      </c>
      <c r="Q603" s="24">
        <f>IF(OR(J603="",J603=0),"",P603/J603)</f>
        <v/>
      </c>
      <c r="R603" s="25">
        <f>IF(OR(A603="",B603=""),"",B603-A603)</f>
        <v/>
      </c>
      <c r="S603" s="26">
        <f>IF(B603="","",YEAR(B603))</f>
        <v/>
      </c>
      <c r="T603" s="27">
        <f>IF(B603="","",IF(OR(F603="Electric",F603="Plug-in",F603="Hibrid"),1,0))</f>
        <v/>
      </c>
    </row>
    <row r="604">
      <c r="A604" s="18" t="n"/>
      <c r="B604" s="18" t="n"/>
      <c r="C604" s="19" t="n"/>
      <c r="D604" s="19" t="n"/>
      <c r="E604" s="20" t="n"/>
      <c r="F604" s="19" t="n"/>
      <c r="G604" s="21" t="n"/>
      <c r="H604" s="22" t="n"/>
      <c r="I604" s="22" t="n"/>
      <c r="J604" s="22" t="n"/>
      <c r="K604" s="19" t="n"/>
      <c r="L604" s="19" t="n"/>
      <c r="M604" s="19" t="n"/>
      <c r="N604" s="19" t="n"/>
      <c r="O604" s="23">
        <f>IF(J604="","",H604+I604)</f>
        <v/>
      </c>
      <c r="P604" s="23">
        <f>IF(J604="","",J604-O604)</f>
        <v/>
      </c>
      <c r="Q604" s="24">
        <f>IF(OR(J604="",J604=0),"",P604/J604)</f>
        <v/>
      </c>
      <c r="R604" s="25">
        <f>IF(OR(A604="",B604=""),"",B604-A604)</f>
        <v/>
      </c>
      <c r="S604" s="26">
        <f>IF(B604="","",YEAR(B604))</f>
        <v/>
      </c>
      <c r="T604" s="27">
        <f>IF(B604="","",IF(OR(F604="Electric",F604="Plug-in",F604="Hibrid"),1,0))</f>
        <v/>
      </c>
    </row>
    <row r="605">
      <c r="A605" s="18" t="n"/>
      <c r="B605" s="18" t="n"/>
      <c r="C605" s="19" t="n"/>
      <c r="D605" s="19" t="n"/>
      <c r="E605" s="20" t="n"/>
      <c r="F605" s="19" t="n"/>
      <c r="G605" s="21" t="n"/>
      <c r="H605" s="22" t="n"/>
      <c r="I605" s="22" t="n"/>
      <c r="J605" s="22" t="n"/>
      <c r="K605" s="19" t="n"/>
      <c r="L605" s="19" t="n"/>
      <c r="M605" s="19" t="n"/>
      <c r="N605" s="19" t="n"/>
      <c r="O605" s="23">
        <f>IF(J605="","",H605+I605)</f>
        <v/>
      </c>
      <c r="P605" s="23">
        <f>IF(J605="","",J605-O605)</f>
        <v/>
      </c>
      <c r="Q605" s="24">
        <f>IF(OR(J605="",J605=0),"",P605/J605)</f>
        <v/>
      </c>
      <c r="R605" s="25">
        <f>IF(OR(A605="",B605=""),"",B605-A605)</f>
        <v/>
      </c>
      <c r="S605" s="26">
        <f>IF(B605="","",YEAR(B605))</f>
        <v/>
      </c>
      <c r="T605" s="27">
        <f>IF(B605="","",IF(OR(F605="Electric",F605="Plug-in",F605="Hibrid"),1,0))</f>
        <v/>
      </c>
    </row>
    <row r="606">
      <c r="A606" s="18" t="n"/>
      <c r="B606" s="18" t="n"/>
      <c r="C606" s="19" t="n"/>
      <c r="D606" s="19" t="n"/>
      <c r="E606" s="20" t="n"/>
      <c r="F606" s="19" t="n"/>
      <c r="G606" s="21" t="n"/>
      <c r="H606" s="22" t="n"/>
      <c r="I606" s="22" t="n"/>
      <c r="J606" s="22" t="n"/>
      <c r="K606" s="19" t="n"/>
      <c r="L606" s="19" t="n"/>
      <c r="M606" s="19" t="n"/>
      <c r="N606" s="19" t="n"/>
      <c r="O606" s="23">
        <f>IF(J606="","",H606+I606)</f>
        <v/>
      </c>
      <c r="P606" s="23">
        <f>IF(J606="","",J606-O606)</f>
        <v/>
      </c>
      <c r="Q606" s="24">
        <f>IF(OR(J606="",J606=0),"",P606/J606)</f>
        <v/>
      </c>
      <c r="R606" s="25">
        <f>IF(OR(A606="",B606=""),"",B606-A606)</f>
        <v/>
      </c>
      <c r="S606" s="26">
        <f>IF(B606="","",YEAR(B606))</f>
        <v/>
      </c>
      <c r="T606" s="27">
        <f>IF(B606="","",IF(OR(F606="Electric",F606="Plug-in",F606="Hibrid"),1,0))</f>
        <v/>
      </c>
    </row>
    <row r="607">
      <c r="A607" s="18" t="n"/>
      <c r="B607" s="18" t="n"/>
      <c r="C607" s="19" t="n"/>
      <c r="D607" s="19" t="n"/>
      <c r="E607" s="20" t="n"/>
      <c r="F607" s="19" t="n"/>
      <c r="G607" s="21" t="n"/>
      <c r="H607" s="22" t="n"/>
      <c r="I607" s="22" t="n"/>
      <c r="J607" s="22" t="n"/>
      <c r="K607" s="19" t="n"/>
      <c r="L607" s="19" t="n"/>
      <c r="M607" s="19" t="n"/>
      <c r="N607" s="19" t="n"/>
      <c r="O607" s="23">
        <f>IF(J607="","",H607+I607)</f>
        <v/>
      </c>
      <c r="P607" s="23">
        <f>IF(J607="","",J607-O607)</f>
        <v/>
      </c>
      <c r="Q607" s="24">
        <f>IF(OR(J607="",J607=0),"",P607/J607)</f>
        <v/>
      </c>
      <c r="R607" s="25">
        <f>IF(OR(A607="",B607=""),"",B607-A607)</f>
        <v/>
      </c>
      <c r="S607" s="26">
        <f>IF(B607="","",YEAR(B607))</f>
        <v/>
      </c>
      <c r="T607" s="27">
        <f>IF(B607="","",IF(OR(F607="Electric",F607="Plug-in",F607="Hibrid"),1,0))</f>
        <v/>
      </c>
    </row>
    <row r="608">
      <c r="A608" s="18" t="n"/>
      <c r="B608" s="18" t="n"/>
      <c r="C608" s="19" t="n"/>
      <c r="D608" s="19" t="n"/>
      <c r="E608" s="20" t="n"/>
      <c r="F608" s="19" t="n"/>
      <c r="G608" s="21" t="n"/>
      <c r="H608" s="22" t="n"/>
      <c r="I608" s="22" t="n"/>
      <c r="J608" s="22" t="n"/>
      <c r="K608" s="19" t="n"/>
      <c r="L608" s="19" t="n"/>
      <c r="M608" s="19" t="n"/>
      <c r="N608" s="19" t="n"/>
      <c r="O608" s="23">
        <f>IF(J608="","",H608+I608)</f>
        <v/>
      </c>
      <c r="P608" s="23">
        <f>IF(J608="","",J608-O608)</f>
        <v/>
      </c>
      <c r="Q608" s="24">
        <f>IF(OR(J608="",J608=0),"",P608/J608)</f>
        <v/>
      </c>
      <c r="R608" s="25">
        <f>IF(OR(A608="",B608=""),"",B608-A608)</f>
        <v/>
      </c>
      <c r="S608" s="26">
        <f>IF(B608="","",YEAR(B608))</f>
        <v/>
      </c>
      <c r="T608" s="27">
        <f>IF(B608="","",IF(OR(F608="Electric",F608="Plug-in",F608="Hibrid"),1,0))</f>
        <v/>
      </c>
    </row>
    <row r="609">
      <c r="A609" s="18" t="n"/>
      <c r="B609" s="18" t="n"/>
      <c r="C609" s="19" t="n"/>
      <c r="D609" s="19" t="n"/>
      <c r="E609" s="20" t="n"/>
      <c r="F609" s="19" t="n"/>
      <c r="G609" s="21" t="n"/>
      <c r="H609" s="22" t="n"/>
      <c r="I609" s="22" t="n"/>
      <c r="J609" s="22" t="n"/>
      <c r="K609" s="19" t="n"/>
      <c r="L609" s="19" t="n"/>
      <c r="M609" s="19" t="n"/>
      <c r="N609" s="19" t="n"/>
      <c r="O609" s="23">
        <f>IF(J609="","",H609+I609)</f>
        <v/>
      </c>
      <c r="P609" s="23">
        <f>IF(J609="","",J609-O609)</f>
        <v/>
      </c>
      <c r="Q609" s="24">
        <f>IF(OR(J609="",J609=0),"",P609/J609)</f>
        <v/>
      </c>
      <c r="R609" s="25">
        <f>IF(OR(A609="",B609=""),"",B609-A609)</f>
        <v/>
      </c>
      <c r="S609" s="26">
        <f>IF(B609="","",YEAR(B609))</f>
        <v/>
      </c>
      <c r="T609" s="27">
        <f>IF(B609="","",IF(OR(F609="Electric",F609="Plug-in",F609="Hibrid"),1,0))</f>
        <v/>
      </c>
    </row>
    <row r="610">
      <c r="A610" s="18" t="n"/>
      <c r="B610" s="18" t="n"/>
      <c r="C610" s="19" t="n"/>
      <c r="D610" s="19" t="n"/>
      <c r="E610" s="20" t="n"/>
      <c r="F610" s="19" t="n"/>
      <c r="G610" s="21" t="n"/>
      <c r="H610" s="22" t="n"/>
      <c r="I610" s="22" t="n"/>
      <c r="J610" s="22" t="n"/>
      <c r="K610" s="19" t="n"/>
      <c r="L610" s="19" t="n"/>
      <c r="M610" s="19" t="n"/>
      <c r="N610" s="19" t="n"/>
      <c r="O610" s="23">
        <f>IF(J610="","",H610+I610)</f>
        <v/>
      </c>
      <c r="P610" s="23">
        <f>IF(J610="","",J610-O610)</f>
        <v/>
      </c>
      <c r="Q610" s="24">
        <f>IF(OR(J610="",J610=0),"",P610/J610)</f>
        <v/>
      </c>
      <c r="R610" s="25">
        <f>IF(OR(A610="",B610=""),"",B610-A610)</f>
        <v/>
      </c>
      <c r="S610" s="26">
        <f>IF(B610="","",YEAR(B610))</f>
        <v/>
      </c>
      <c r="T610" s="27">
        <f>IF(B610="","",IF(OR(F610="Electric",F610="Plug-in",F610="Hibrid"),1,0))</f>
        <v/>
      </c>
    </row>
    <row r="611">
      <c r="A611" s="18" t="n"/>
      <c r="B611" s="18" t="n"/>
      <c r="C611" s="19" t="n"/>
      <c r="D611" s="19" t="n"/>
      <c r="E611" s="20" t="n"/>
      <c r="F611" s="19" t="n"/>
      <c r="G611" s="21" t="n"/>
      <c r="H611" s="22" t="n"/>
      <c r="I611" s="22" t="n"/>
      <c r="J611" s="22" t="n"/>
      <c r="K611" s="19" t="n"/>
      <c r="L611" s="19" t="n"/>
      <c r="M611" s="19" t="n"/>
      <c r="N611" s="19" t="n"/>
      <c r="O611" s="23">
        <f>IF(J611="","",H611+I611)</f>
        <v/>
      </c>
      <c r="P611" s="23">
        <f>IF(J611="","",J611-O611)</f>
        <v/>
      </c>
      <c r="Q611" s="24">
        <f>IF(OR(J611="",J611=0),"",P611/J611)</f>
        <v/>
      </c>
      <c r="R611" s="25">
        <f>IF(OR(A611="",B611=""),"",B611-A611)</f>
        <v/>
      </c>
      <c r="S611" s="26">
        <f>IF(B611="","",YEAR(B611))</f>
        <v/>
      </c>
      <c r="T611" s="27">
        <f>IF(B611="","",IF(OR(F611="Electric",F611="Plug-in",F611="Hibrid"),1,0))</f>
        <v/>
      </c>
    </row>
    <row r="612">
      <c r="A612" s="18" t="n"/>
      <c r="B612" s="18" t="n"/>
      <c r="C612" s="19" t="n"/>
      <c r="D612" s="19" t="n"/>
      <c r="E612" s="20" t="n"/>
      <c r="F612" s="19" t="n"/>
      <c r="G612" s="21" t="n"/>
      <c r="H612" s="22" t="n"/>
      <c r="I612" s="22" t="n"/>
      <c r="J612" s="22" t="n"/>
      <c r="K612" s="19" t="n"/>
      <c r="L612" s="19" t="n"/>
      <c r="M612" s="19" t="n"/>
      <c r="N612" s="19" t="n"/>
      <c r="O612" s="23">
        <f>IF(J612="","",H612+I612)</f>
        <v/>
      </c>
      <c r="P612" s="23">
        <f>IF(J612="","",J612-O612)</f>
        <v/>
      </c>
      <c r="Q612" s="24">
        <f>IF(OR(J612="",J612=0),"",P612/J612)</f>
        <v/>
      </c>
      <c r="R612" s="25">
        <f>IF(OR(A612="",B612=""),"",B612-A612)</f>
        <v/>
      </c>
      <c r="S612" s="26">
        <f>IF(B612="","",YEAR(B612))</f>
        <v/>
      </c>
      <c r="T612" s="27">
        <f>IF(B612="","",IF(OR(F612="Electric",F612="Plug-in",F612="Hibrid"),1,0))</f>
        <v/>
      </c>
    </row>
    <row r="613">
      <c r="A613" s="18" t="n"/>
      <c r="B613" s="18" t="n"/>
      <c r="C613" s="19" t="n"/>
      <c r="D613" s="19" t="n"/>
      <c r="E613" s="20" t="n"/>
      <c r="F613" s="19" t="n"/>
      <c r="G613" s="21" t="n"/>
      <c r="H613" s="22" t="n"/>
      <c r="I613" s="22" t="n"/>
      <c r="J613" s="22" t="n"/>
      <c r="K613" s="19" t="n"/>
      <c r="L613" s="19" t="n"/>
      <c r="M613" s="19" t="n"/>
      <c r="N613" s="19" t="n"/>
      <c r="O613" s="23">
        <f>IF(J613="","",H613+I613)</f>
        <v/>
      </c>
      <c r="P613" s="23">
        <f>IF(J613="","",J613-O613)</f>
        <v/>
      </c>
      <c r="Q613" s="24">
        <f>IF(OR(J613="",J613=0),"",P613/J613)</f>
        <v/>
      </c>
      <c r="R613" s="25">
        <f>IF(OR(A613="",B613=""),"",B613-A613)</f>
        <v/>
      </c>
      <c r="S613" s="26">
        <f>IF(B613="","",YEAR(B613))</f>
        <v/>
      </c>
      <c r="T613" s="27">
        <f>IF(B613="","",IF(OR(F613="Electric",F613="Plug-in",F613="Hibrid"),1,0))</f>
        <v/>
      </c>
    </row>
    <row r="614">
      <c r="A614" s="18" t="n"/>
      <c r="B614" s="18" t="n"/>
      <c r="C614" s="19" t="n"/>
      <c r="D614" s="19" t="n"/>
      <c r="E614" s="20" t="n"/>
      <c r="F614" s="19" t="n"/>
      <c r="G614" s="21" t="n"/>
      <c r="H614" s="22" t="n"/>
      <c r="I614" s="22" t="n"/>
      <c r="J614" s="22" t="n"/>
      <c r="K614" s="19" t="n"/>
      <c r="L614" s="19" t="n"/>
      <c r="M614" s="19" t="n"/>
      <c r="N614" s="19" t="n"/>
      <c r="O614" s="23">
        <f>IF(J614="","",H614+I614)</f>
        <v/>
      </c>
      <c r="P614" s="23">
        <f>IF(J614="","",J614-O614)</f>
        <v/>
      </c>
      <c r="Q614" s="24">
        <f>IF(OR(J614="",J614=0),"",P614/J614)</f>
        <v/>
      </c>
      <c r="R614" s="25">
        <f>IF(OR(A614="",B614=""),"",B614-A614)</f>
        <v/>
      </c>
      <c r="S614" s="26">
        <f>IF(B614="","",YEAR(B614))</f>
        <v/>
      </c>
      <c r="T614" s="27">
        <f>IF(B614="","",IF(OR(F614="Electric",F614="Plug-in",F614="Hibrid"),1,0))</f>
        <v/>
      </c>
    </row>
    <row r="615">
      <c r="A615" s="18" t="n"/>
      <c r="B615" s="18" t="n"/>
      <c r="C615" s="19" t="n"/>
      <c r="D615" s="19" t="n"/>
      <c r="E615" s="20" t="n"/>
      <c r="F615" s="19" t="n"/>
      <c r="G615" s="21" t="n"/>
      <c r="H615" s="22" t="n"/>
      <c r="I615" s="22" t="n"/>
      <c r="J615" s="22" t="n"/>
      <c r="K615" s="19" t="n"/>
      <c r="L615" s="19" t="n"/>
      <c r="M615" s="19" t="n"/>
      <c r="N615" s="19" t="n"/>
      <c r="O615" s="23">
        <f>IF(J615="","",H615+I615)</f>
        <v/>
      </c>
      <c r="P615" s="23">
        <f>IF(J615="","",J615-O615)</f>
        <v/>
      </c>
      <c r="Q615" s="24">
        <f>IF(OR(J615="",J615=0),"",P615/J615)</f>
        <v/>
      </c>
      <c r="R615" s="25">
        <f>IF(OR(A615="",B615=""),"",B615-A615)</f>
        <v/>
      </c>
      <c r="S615" s="26">
        <f>IF(B615="","",YEAR(B615))</f>
        <v/>
      </c>
      <c r="T615" s="27">
        <f>IF(B615="","",IF(OR(F615="Electric",F615="Plug-in",F615="Hibrid"),1,0))</f>
        <v/>
      </c>
    </row>
    <row r="616">
      <c r="A616" s="18" t="n"/>
      <c r="B616" s="18" t="n"/>
      <c r="C616" s="19" t="n"/>
      <c r="D616" s="19" t="n"/>
      <c r="E616" s="20" t="n"/>
      <c r="F616" s="19" t="n"/>
      <c r="G616" s="21" t="n"/>
      <c r="H616" s="22" t="n"/>
      <c r="I616" s="22" t="n"/>
      <c r="J616" s="22" t="n"/>
      <c r="K616" s="19" t="n"/>
      <c r="L616" s="19" t="n"/>
      <c r="M616" s="19" t="n"/>
      <c r="N616" s="19" t="n"/>
      <c r="O616" s="23">
        <f>IF(J616="","",H616+I616)</f>
        <v/>
      </c>
      <c r="P616" s="23">
        <f>IF(J616="","",J616-O616)</f>
        <v/>
      </c>
      <c r="Q616" s="24">
        <f>IF(OR(J616="",J616=0),"",P616/J616)</f>
        <v/>
      </c>
      <c r="R616" s="25">
        <f>IF(OR(A616="",B616=""),"",B616-A616)</f>
        <v/>
      </c>
      <c r="S616" s="26">
        <f>IF(B616="","",YEAR(B616))</f>
        <v/>
      </c>
      <c r="T616" s="27">
        <f>IF(B616="","",IF(OR(F616="Electric",F616="Plug-in",F616="Hibrid"),1,0))</f>
        <v/>
      </c>
    </row>
    <row r="617">
      <c r="A617" s="18" t="n"/>
      <c r="B617" s="18" t="n"/>
      <c r="C617" s="19" t="n"/>
      <c r="D617" s="19" t="n"/>
      <c r="E617" s="20" t="n"/>
      <c r="F617" s="19" t="n"/>
      <c r="G617" s="21" t="n"/>
      <c r="H617" s="22" t="n"/>
      <c r="I617" s="22" t="n"/>
      <c r="J617" s="22" t="n"/>
      <c r="K617" s="19" t="n"/>
      <c r="L617" s="19" t="n"/>
      <c r="M617" s="19" t="n"/>
      <c r="N617" s="19" t="n"/>
      <c r="O617" s="23">
        <f>IF(J617="","",H617+I617)</f>
        <v/>
      </c>
      <c r="P617" s="23">
        <f>IF(J617="","",J617-O617)</f>
        <v/>
      </c>
      <c r="Q617" s="24">
        <f>IF(OR(J617="",J617=0),"",P617/J617)</f>
        <v/>
      </c>
      <c r="R617" s="25">
        <f>IF(OR(A617="",B617=""),"",B617-A617)</f>
        <v/>
      </c>
      <c r="S617" s="26">
        <f>IF(B617="","",YEAR(B617))</f>
        <v/>
      </c>
      <c r="T617" s="27">
        <f>IF(B617="","",IF(OR(F617="Electric",F617="Plug-in",F617="Hibrid"),1,0))</f>
        <v/>
      </c>
    </row>
    <row r="618">
      <c r="A618" s="18" t="n"/>
      <c r="B618" s="18" t="n"/>
      <c r="C618" s="19" t="n"/>
      <c r="D618" s="19" t="n"/>
      <c r="E618" s="20" t="n"/>
      <c r="F618" s="19" t="n"/>
      <c r="G618" s="21" t="n"/>
      <c r="H618" s="22" t="n"/>
      <c r="I618" s="22" t="n"/>
      <c r="J618" s="22" t="n"/>
      <c r="K618" s="19" t="n"/>
      <c r="L618" s="19" t="n"/>
      <c r="M618" s="19" t="n"/>
      <c r="N618" s="19" t="n"/>
      <c r="O618" s="23">
        <f>IF(J618="","",H618+I618)</f>
        <v/>
      </c>
      <c r="P618" s="23">
        <f>IF(J618="","",J618-O618)</f>
        <v/>
      </c>
      <c r="Q618" s="24">
        <f>IF(OR(J618="",J618=0),"",P618/J618)</f>
        <v/>
      </c>
      <c r="R618" s="25">
        <f>IF(OR(A618="",B618=""),"",B618-A618)</f>
        <v/>
      </c>
      <c r="S618" s="26">
        <f>IF(B618="","",YEAR(B618))</f>
        <v/>
      </c>
      <c r="T618" s="27">
        <f>IF(B618="","",IF(OR(F618="Electric",F618="Plug-in",F618="Hibrid"),1,0))</f>
        <v/>
      </c>
    </row>
    <row r="619">
      <c r="A619" s="18" t="n"/>
      <c r="B619" s="18" t="n"/>
      <c r="C619" s="19" t="n"/>
      <c r="D619" s="19" t="n"/>
      <c r="E619" s="20" t="n"/>
      <c r="F619" s="19" t="n"/>
      <c r="G619" s="21" t="n"/>
      <c r="H619" s="22" t="n"/>
      <c r="I619" s="22" t="n"/>
      <c r="J619" s="22" t="n"/>
      <c r="K619" s="19" t="n"/>
      <c r="L619" s="19" t="n"/>
      <c r="M619" s="19" t="n"/>
      <c r="N619" s="19" t="n"/>
      <c r="O619" s="23">
        <f>IF(J619="","",H619+I619)</f>
        <v/>
      </c>
      <c r="P619" s="23">
        <f>IF(J619="","",J619-O619)</f>
        <v/>
      </c>
      <c r="Q619" s="24">
        <f>IF(OR(J619="",J619=0),"",P619/J619)</f>
        <v/>
      </c>
      <c r="R619" s="25">
        <f>IF(OR(A619="",B619=""),"",B619-A619)</f>
        <v/>
      </c>
      <c r="S619" s="26">
        <f>IF(B619="","",YEAR(B619))</f>
        <v/>
      </c>
      <c r="T619" s="27">
        <f>IF(B619="","",IF(OR(F619="Electric",F619="Plug-in",F619="Hibrid"),1,0))</f>
        <v/>
      </c>
    </row>
    <row r="620">
      <c r="A620" s="18" t="n"/>
      <c r="B620" s="18" t="n"/>
      <c r="C620" s="19" t="n"/>
      <c r="D620" s="19" t="n"/>
      <c r="E620" s="20" t="n"/>
      <c r="F620" s="19" t="n"/>
      <c r="G620" s="21" t="n"/>
      <c r="H620" s="22" t="n"/>
      <c r="I620" s="22" t="n"/>
      <c r="J620" s="22" t="n"/>
      <c r="K620" s="19" t="n"/>
      <c r="L620" s="19" t="n"/>
      <c r="M620" s="19" t="n"/>
      <c r="N620" s="19" t="n"/>
      <c r="O620" s="23">
        <f>IF(J620="","",H620+I620)</f>
        <v/>
      </c>
      <c r="P620" s="23">
        <f>IF(J620="","",J620-O620)</f>
        <v/>
      </c>
      <c r="Q620" s="24">
        <f>IF(OR(J620="",J620=0),"",P620/J620)</f>
        <v/>
      </c>
      <c r="R620" s="25">
        <f>IF(OR(A620="",B620=""),"",B620-A620)</f>
        <v/>
      </c>
      <c r="S620" s="26">
        <f>IF(B620="","",YEAR(B620))</f>
        <v/>
      </c>
      <c r="T620" s="27">
        <f>IF(B620="","",IF(OR(F620="Electric",F620="Plug-in",F620="Hibrid"),1,0))</f>
        <v/>
      </c>
    </row>
    <row r="621">
      <c r="A621" s="18" t="n"/>
      <c r="B621" s="18" t="n"/>
      <c r="C621" s="19" t="n"/>
      <c r="D621" s="19" t="n"/>
      <c r="E621" s="20" t="n"/>
      <c r="F621" s="19" t="n"/>
      <c r="G621" s="21" t="n"/>
      <c r="H621" s="22" t="n"/>
      <c r="I621" s="22" t="n"/>
      <c r="J621" s="22" t="n"/>
      <c r="K621" s="19" t="n"/>
      <c r="L621" s="19" t="n"/>
      <c r="M621" s="19" t="n"/>
      <c r="N621" s="19" t="n"/>
      <c r="O621" s="23">
        <f>IF(J621="","",H621+I621)</f>
        <v/>
      </c>
      <c r="P621" s="23">
        <f>IF(J621="","",J621-O621)</f>
        <v/>
      </c>
      <c r="Q621" s="24">
        <f>IF(OR(J621="",J621=0),"",P621/J621)</f>
        <v/>
      </c>
      <c r="R621" s="25">
        <f>IF(OR(A621="",B621=""),"",B621-A621)</f>
        <v/>
      </c>
      <c r="S621" s="26">
        <f>IF(B621="","",YEAR(B621))</f>
        <v/>
      </c>
      <c r="T621" s="27">
        <f>IF(B621="","",IF(OR(F621="Electric",F621="Plug-in",F621="Hibrid"),1,0))</f>
        <v/>
      </c>
    </row>
    <row r="622">
      <c r="A622" s="18" t="n"/>
      <c r="B622" s="18" t="n"/>
      <c r="C622" s="19" t="n"/>
      <c r="D622" s="19" t="n"/>
      <c r="E622" s="20" t="n"/>
      <c r="F622" s="19" t="n"/>
      <c r="G622" s="21" t="n"/>
      <c r="H622" s="22" t="n"/>
      <c r="I622" s="22" t="n"/>
      <c r="J622" s="22" t="n"/>
      <c r="K622" s="19" t="n"/>
      <c r="L622" s="19" t="n"/>
      <c r="M622" s="19" t="n"/>
      <c r="N622" s="19" t="n"/>
      <c r="O622" s="23">
        <f>IF(J622="","",H622+I622)</f>
        <v/>
      </c>
      <c r="P622" s="23">
        <f>IF(J622="","",J622-O622)</f>
        <v/>
      </c>
      <c r="Q622" s="24">
        <f>IF(OR(J622="",J622=0),"",P622/J622)</f>
        <v/>
      </c>
      <c r="R622" s="25">
        <f>IF(OR(A622="",B622=""),"",B622-A622)</f>
        <v/>
      </c>
      <c r="S622" s="26">
        <f>IF(B622="","",YEAR(B622))</f>
        <v/>
      </c>
      <c r="T622" s="27">
        <f>IF(B622="","",IF(OR(F622="Electric",F622="Plug-in",F622="Hibrid"),1,0))</f>
        <v/>
      </c>
    </row>
    <row r="623">
      <c r="A623" s="18" t="n"/>
      <c r="B623" s="18" t="n"/>
      <c r="C623" s="19" t="n"/>
      <c r="D623" s="19" t="n"/>
      <c r="E623" s="20" t="n"/>
      <c r="F623" s="19" t="n"/>
      <c r="G623" s="21" t="n"/>
      <c r="H623" s="22" t="n"/>
      <c r="I623" s="22" t="n"/>
      <c r="J623" s="22" t="n"/>
      <c r="K623" s="19" t="n"/>
      <c r="L623" s="19" t="n"/>
      <c r="M623" s="19" t="n"/>
      <c r="N623" s="19" t="n"/>
      <c r="O623" s="23">
        <f>IF(J623="","",H623+I623)</f>
        <v/>
      </c>
      <c r="P623" s="23">
        <f>IF(J623="","",J623-O623)</f>
        <v/>
      </c>
      <c r="Q623" s="24">
        <f>IF(OR(J623="",J623=0),"",P623/J623)</f>
        <v/>
      </c>
      <c r="R623" s="25">
        <f>IF(OR(A623="",B623=""),"",B623-A623)</f>
        <v/>
      </c>
      <c r="S623" s="26">
        <f>IF(B623="","",YEAR(B623))</f>
        <v/>
      </c>
      <c r="T623" s="27">
        <f>IF(B623="","",IF(OR(F623="Electric",F623="Plug-in",F623="Hibrid"),1,0))</f>
        <v/>
      </c>
    </row>
    <row r="624">
      <c r="A624" s="18" t="n"/>
      <c r="B624" s="18" t="n"/>
      <c r="C624" s="19" t="n"/>
      <c r="D624" s="19" t="n"/>
      <c r="E624" s="20" t="n"/>
      <c r="F624" s="19" t="n"/>
      <c r="G624" s="21" t="n"/>
      <c r="H624" s="22" t="n"/>
      <c r="I624" s="22" t="n"/>
      <c r="J624" s="22" t="n"/>
      <c r="K624" s="19" t="n"/>
      <c r="L624" s="19" t="n"/>
      <c r="M624" s="19" t="n"/>
      <c r="N624" s="19" t="n"/>
      <c r="O624" s="23">
        <f>IF(J624="","",H624+I624)</f>
        <v/>
      </c>
      <c r="P624" s="23">
        <f>IF(J624="","",J624-O624)</f>
        <v/>
      </c>
      <c r="Q624" s="24">
        <f>IF(OR(J624="",J624=0),"",P624/J624)</f>
        <v/>
      </c>
      <c r="R624" s="25">
        <f>IF(OR(A624="",B624=""),"",B624-A624)</f>
        <v/>
      </c>
      <c r="S624" s="26">
        <f>IF(B624="","",YEAR(B624))</f>
        <v/>
      </c>
      <c r="T624" s="27">
        <f>IF(B624="","",IF(OR(F624="Electric",F624="Plug-in",F624="Hibrid"),1,0))</f>
        <v/>
      </c>
    </row>
    <row r="625">
      <c r="A625" s="18" t="n"/>
      <c r="B625" s="18" t="n"/>
      <c r="C625" s="19" t="n"/>
      <c r="D625" s="19" t="n"/>
      <c r="E625" s="20" t="n"/>
      <c r="F625" s="19" t="n"/>
      <c r="G625" s="21" t="n"/>
      <c r="H625" s="22" t="n"/>
      <c r="I625" s="22" t="n"/>
      <c r="J625" s="22" t="n"/>
      <c r="K625" s="19" t="n"/>
      <c r="L625" s="19" t="n"/>
      <c r="M625" s="19" t="n"/>
      <c r="N625" s="19" t="n"/>
      <c r="O625" s="23">
        <f>IF(J625="","",H625+I625)</f>
        <v/>
      </c>
      <c r="P625" s="23">
        <f>IF(J625="","",J625-O625)</f>
        <v/>
      </c>
      <c r="Q625" s="24">
        <f>IF(OR(J625="",J625=0),"",P625/J625)</f>
        <v/>
      </c>
      <c r="R625" s="25">
        <f>IF(OR(A625="",B625=""),"",B625-A625)</f>
        <v/>
      </c>
      <c r="S625" s="26">
        <f>IF(B625="","",YEAR(B625))</f>
        <v/>
      </c>
      <c r="T625" s="27">
        <f>IF(B625="","",IF(OR(F625="Electric",F625="Plug-in",F625="Hibrid"),1,0))</f>
        <v/>
      </c>
    </row>
    <row r="626">
      <c r="A626" s="18" t="n"/>
      <c r="B626" s="18" t="n"/>
      <c r="C626" s="19" t="n"/>
      <c r="D626" s="19" t="n"/>
      <c r="E626" s="20" t="n"/>
      <c r="F626" s="19" t="n"/>
      <c r="G626" s="21" t="n"/>
      <c r="H626" s="22" t="n"/>
      <c r="I626" s="22" t="n"/>
      <c r="J626" s="22" t="n"/>
      <c r="K626" s="19" t="n"/>
      <c r="L626" s="19" t="n"/>
      <c r="M626" s="19" t="n"/>
      <c r="N626" s="19" t="n"/>
      <c r="O626" s="23">
        <f>IF(J626="","",H626+I626)</f>
        <v/>
      </c>
      <c r="P626" s="23">
        <f>IF(J626="","",J626-O626)</f>
        <v/>
      </c>
      <c r="Q626" s="24">
        <f>IF(OR(J626="",J626=0),"",P626/J626)</f>
        <v/>
      </c>
      <c r="R626" s="25">
        <f>IF(OR(A626="",B626=""),"",B626-A626)</f>
        <v/>
      </c>
      <c r="S626" s="26">
        <f>IF(B626="","",YEAR(B626))</f>
        <v/>
      </c>
      <c r="T626" s="27">
        <f>IF(B626="","",IF(OR(F626="Electric",F626="Plug-in",F626="Hibrid"),1,0))</f>
        <v/>
      </c>
    </row>
    <row r="627">
      <c r="A627" s="18" t="n"/>
      <c r="B627" s="18" t="n"/>
      <c r="C627" s="19" t="n"/>
      <c r="D627" s="19" t="n"/>
      <c r="E627" s="20" t="n"/>
      <c r="F627" s="19" t="n"/>
      <c r="G627" s="21" t="n"/>
      <c r="H627" s="22" t="n"/>
      <c r="I627" s="22" t="n"/>
      <c r="J627" s="22" t="n"/>
      <c r="K627" s="19" t="n"/>
      <c r="L627" s="19" t="n"/>
      <c r="M627" s="19" t="n"/>
      <c r="N627" s="19" t="n"/>
      <c r="O627" s="23">
        <f>IF(J627="","",H627+I627)</f>
        <v/>
      </c>
      <c r="P627" s="23">
        <f>IF(J627="","",J627-O627)</f>
        <v/>
      </c>
      <c r="Q627" s="24">
        <f>IF(OR(J627="",J627=0),"",P627/J627)</f>
        <v/>
      </c>
      <c r="R627" s="25">
        <f>IF(OR(A627="",B627=""),"",B627-A627)</f>
        <v/>
      </c>
      <c r="S627" s="26">
        <f>IF(B627="","",YEAR(B627))</f>
        <v/>
      </c>
      <c r="T627" s="27">
        <f>IF(B627="","",IF(OR(F627="Electric",F627="Plug-in",F627="Hibrid"),1,0))</f>
        <v/>
      </c>
    </row>
    <row r="628">
      <c r="A628" s="18" t="n"/>
      <c r="B628" s="18" t="n"/>
      <c r="C628" s="19" t="n"/>
      <c r="D628" s="19" t="n"/>
      <c r="E628" s="20" t="n"/>
      <c r="F628" s="19" t="n"/>
      <c r="G628" s="21" t="n"/>
      <c r="H628" s="22" t="n"/>
      <c r="I628" s="22" t="n"/>
      <c r="J628" s="22" t="n"/>
      <c r="K628" s="19" t="n"/>
      <c r="L628" s="19" t="n"/>
      <c r="M628" s="19" t="n"/>
      <c r="N628" s="19" t="n"/>
      <c r="O628" s="23">
        <f>IF(J628="","",H628+I628)</f>
        <v/>
      </c>
      <c r="P628" s="23">
        <f>IF(J628="","",J628-O628)</f>
        <v/>
      </c>
      <c r="Q628" s="24">
        <f>IF(OR(J628="",J628=0),"",P628/J628)</f>
        <v/>
      </c>
      <c r="R628" s="25">
        <f>IF(OR(A628="",B628=""),"",B628-A628)</f>
        <v/>
      </c>
      <c r="S628" s="26">
        <f>IF(B628="","",YEAR(B628))</f>
        <v/>
      </c>
      <c r="T628" s="27">
        <f>IF(B628="","",IF(OR(F628="Electric",F628="Plug-in",F628="Hibrid"),1,0))</f>
        <v/>
      </c>
    </row>
    <row r="629">
      <c r="A629" s="18" t="n"/>
      <c r="B629" s="18" t="n"/>
      <c r="C629" s="19" t="n"/>
      <c r="D629" s="19" t="n"/>
      <c r="E629" s="20" t="n"/>
      <c r="F629" s="19" t="n"/>
      <c r="G629" s="21" t="n"/>
      <c r="H629" s="22" t="n"/>
      <c r="I629" s="22" t="n"/>
      <c r="J629" s="22" t="n"/>
      <c r="K629" s="19" t="n"/>
      <c r="L629" s="19" t="n"/>
      <c r="M629" s="19" t="n"/>
      <c r="N629" s="19" t="n"/>
      <c r="O629" s="23">
        <f>IF(J629="","",H629+I629)</f>
        <v/>
      </c>
      <c r="P629" s="23">
        <f>IF(J629="","",J629-O629)</f>
        <v/>
      </c>
      <c r="Q629" s="24">
        <f>IF(OR(J629="",J629=0),"",P629/J629)</f>
        <v/>
      </c>
      <c r="R629" s="25">
        <f>IF(OR(A629="",B629=""),"",B629-A629)</f>
        <v/>
      </c>
      <c r="S629" s="26">
        <f>IF(B629="","",YEAR(B629))</f>
        <v/>
      </c>
      <c r="T629" s="27">
        <f>IF(B629="","",IF(OR(F629="Electric",F629="Plug-in",F629="Hibrid"),1,0))</f>
        <v/>
      </c>
    </row>
    <row r="630">
      <c r="A630" s="18" t="n"/>
      <c r="B630" s="18" t="n"/>
      <c r="C630" s="19" t="n"/>
      <c r="D630" s="19" t="n"/>
      <c r="E630" s="20" t="n"/>
      <c r="F630" s="19" t="n"/>
      <c r="G630" s="21" t="n"/>
      <c r="H630" s="22" t="n"/>
      <c r="I630" s="22" t="n"/>
      <c r="J630" s="22" t="n"/>
      <c r="K630" s="19" t="n"/>
      <c r="L630" s="19" t="n"/>
      <c r="M630" s="19" t="n"/>
      <c r="N630" s="19" t="n"/>
      <c r="O630" s="23">
        <f>IF(J630="","",H630+I630)</f>
        <v/>
      </c>
      <c r="P630" s="23">
        <f>IF(J630="","",J630-O630)</f>
        <v/>
      </c>
      <c r="Q630" s="24">
        <f>IF(OR(J630="",J630=0),"",P630/J630)</f>
        <v/>
      </c>
      <c r="R630" s="25">
        <f>IF(OR(A630="",B630=""),"",B630-A630)</f>
        <v/>
      </c>
      <c r="S630" s="26">
        <f>IF(B630="","",YEAR(B630))</f>
        <v/>
      </c>
      <c r="T630" s="27">
        <f>IF(B630="","",IF(OR(F630="Electric",F630="Plug-in",F630="Hibrid"),1,0))</f>
        <v/>
      </c>
    </row>
    <row r="631">
      <c r="A631" s="18" t="n"/>
      <c r="B631" s="18" t="n"/>
      <c r="C631" s="19" t="n"/>
      <c r="D631" s="19" t="n"/>
      <c r="E631" s="20" t="n"/>
      <c r="F631" s="19" t="n"/>
      <c r="G631" s="21" t="n"/>
      <c r="H631" s="22" t="n"/>
      <c r="I631" s="22" t="n"/>
      <c r="J631" s="22" t="n"/>
      <c r="K631" s="19" t="n"/>
      <c r="L631" s="19" t="n"/>
      <c r="M631" s="19" t="n"/>
      <c r="N631" s="19" t="n"/>
      <c r="O631" s="23">
        <f>IF(J631="","",H631+I631)</f>
        <v/>
      </c>
      <c r="P631" s="23">
        <f>IF(J631="","",J631-O631)</f>
        <v/>
      </c>
      <c r="Q631" s="24">
        <f>IF(OR(J631="",J631=0),"",P631/J631)</f>
        <v/>
      </c>
      <c r="R631" s="25">
        <f>IF(OR(A631="",B631=""),"",B631-A631)</f>
        <v/>
      </c>
      <c r="S631" s="26">
        <f>IF(B631="","",YEAR(B631))</f>
        <v/>
      </c>
      <c r="T631" s="27">
        <f>IF(B631="","",IF(OR(F631="Electric",F631="Plug-in",F631="Hibrid"),1,0))</f>
        <v/>
      </c>
    </row>
    <row r="632">
      <c r="A632" s="18" t="n"/>
      <c r="B632" s="18" t="n"/>
      <c r="C632" s="19" t="n"/>
      <c r="D632" s="19" t="n"/>
      <c r="E632" s="20" t="n"/>
      <c r="F632" s="19" t="n"/>
      <c r="G632" s="21" t="n"/>
      <c r="H632" s="22" t="n"/>
      <c r="I632" s="22" t="n"/>
      <c r="J632" s="22" t="n"/>
      <c r="K632" s="19" t="n"/>
      <c r="L632" s="19" t="n"/>
      <c r="M632" s="19" t="n"/>
      <c r="N632" s="19" t="n"/>
      <c r="O632" s="23">
        <f>IF(J632="","",H632+I632)</f>
        <v/>
      </c>
      <c r="P632" s="23">
        <f>IF(J632="","",J632-O632)</f>
        <v/>
      </c>
      <c r="Q632" s="24">
        <f>IF(OR(J632="",J632=0),"",P632/J632)</f>
        <v/>
      </c>
      <c r="R632" s="25">
        <f>IF(OR(A632="",B632=""),"",B632-A632)</f>
        <v/>
      </c>
      <c r="S632" s="26">
        <f>IF(B632="","",YEAR(B632))</f>
        <v/>
      </c>
      <c r="T632" s="27">
        <f>IF(B632="","",IF(OR(F632="Electric",F632="Plug-in",F632="Hibrid"),1,0))</f>
        <v/>
      </c>
    </row>
    <row r="633">
      <c r="A633" s="18" t="n"/>
      <c r="B633" s="18" t="n"/>
      <c r="C633" s="19" t="n"/>
      <c r="D633" s="19" t="n"/>
      <c r="E633" s="20" t="n"/>
      <c r="F633" s="19" t="n"/>
      <c r="G633" s="21" t="n"/>
      <c r="H633" s="22" t="n"/>
      <c r="I633" s="22" t="n"/>
      <c r="J633" s="22" t="n"/>
      <c r="K633" s="19" t="n"/>
      <c r="L633" s="19" t="n"/>
      <c r="M633" s="19" t="n"/>
      <c r="N633" s="19" t="n"/>
      <c r="O633" s="23">
        <f>IF(J633="","",H633+I633)</f>
        <v/>
      </c>
      <c r="P633" s="23">
        <f>IF(J633="","",J633-O633)</f>
        <v/>
      </c>
      <c r="Q633" s="24">
        <f>IF(OR(J633="",J633=0),"",P633/J633)</f>
        <v/>
      </c>
      <c r="R633" s="25">
        <f>IF(OR(A633="",B633=""),"",B633-A633)</f>
        <v/>
      </c>
      <c r="S633" s="26">
        <f>IF(B633="","",YEAR(B633))</f>
        <v/>
      </c>
      <c r="T633" s="27">
        <f>IF(B633="","",IF(OR(F633="Electric",F633="Plug-in",F633="Hibrid"),1,0))</f>
        <v/>
      </c>
    </row>
    <row r="634">
      <c r="A634" s="18" t="n"/>
      <c r="B634" s="18" t="n"/>
      <c r="C634" s="19" t="n"/>
      <c r="D634" s="19" t="n"/>
      <c r="E634" s="20" t="n"/>
      <c r="F634" s="19" t="n"/>
      <c r="G634" s="21" t="n"/>
      <c r="H634" s="22" t="n"/>
      <c r="I634" s="22" t="n"/>
      <c r="J634" s="22" t="n"/>
      <c r="K634" s="19" t="n"/>
      <c r="L634" s="19" t="n"/>
      <c r="M634" s="19" t="n"/>
      <c r="N634" s="19" t="n"/>
      <c r="O634" s="23">
        <f>IF(J634="","",H634+I634)</f>
        <v/>
      </c>
      <c r="P634" s="23">
        <f>IF(J634="","",J634-O634)</f>
        <v/>
      </c>
      <c r="Q634" s="24">
        <f>IF(OR(J634="",J634=0),"",P634/J634)</f>
        <v/>
      </c>
      <c r="R634" s="25">
        <f>IF(OR(A634="",B634=""),"",B634-A634)</f>
        <v/>
      </c>
      <c r="S634" s="26">
        <f>IF(B634="","",YEAR(B634))</f>
        <v/>
      </c>
      <c r="T634" s="27">
        <f>IF(B634="","",IF(OR(F634="Electric",F634="Plug-in",F634="Hibrid"),1,0))</f>
        <v/>
      </c>
    </row>
    <row r="635">
      <c r="A635" s="18" t="n"/>
      <c r="B635" s="18" t="n"/>
      <c r="C635" s="19" t="n"/>
      <c r="D635" s="19" t="n"/>
      <c r="E635" s="20" t="n"/>
      <c r="F635" s="19" t="n"/>
      <c r="G635" s="21" t="n"/>
      <c r="H635" s="22" t="n"/>
      <c r="I635" s="22" t="n"/>
      <c r="J635" s="22" t="n"/>
      <c r="K635" s="19" t="n"/>
      <c r="L635" s="19" t="n"/>
      <c r="M635" s="19" t="n"/>
      <c r="N635" s="19" t="n"/>
      <c r="O635" s="23">
        <f>IF(J635="","",H635+I635)</f>
        <v/>
      </c>
      <c r="P635" s="23">
        <f>IF(J635="","",J635-O635)</f>
        <v/>
      </c>
      <c r="Q635" s="24">
        <f>IF(OR(J635="",J635=0),"",P635/J635)</f>
        <v/>
      </c>
      <c r="R635" s="25">
        <f>IF(OR(A635="",B635=""),"",B635-A635)</f>
        <v/>
      </c>
      <c r="S635" s="26">
        <f>IF(B635="","",YEAR(B635))</f>
        <v/>
      </c>
      <c r="T635" s="27">
        <f>IF(B635="","",IF(OR(F635="Electric",F635="Plug-in",F635="Hibrid"),1,0))</f>
        <v/>
      </c>
    </row>
    <row r="636">
      <c r="A636" s="18" t="n"/>
      <c r="B636" s="18" t="n"/>
      <c r="C636" s="19" t="n"/>
      <c r="D636" s="19" t="n"/>
      <c r="E636" s="20" t="n"/>
      <c r="F636" s="19" t="n"/>
      <c r="G636" s="21" t="n"/>
      <c r="H636" s="22" t="n"/>
      <c r="I636" s="22" t="n"/>
      <c r="J636" s="22" t="n"/>
      <c r="K636" s="19" t="n"/>
      <c r="L636" s="19" t="n"/>
      <c r="M636" s="19" t="n"/>
      <c r="N636" s="19" t="n"/>
      <c r="O636" s="23">
        <f>IF(J636="","",H636+I636)</f>
        <v/>
      </c>
      <c r="P636" s="23">
        <f>IF(J636="","",J636-O636)</f>
        <v/>
      </c>
      <c r="Q636" s="24">
        <f>IF(OR(J636="",J636=0),"",P636/J636)</f>
        <v/>
      </c>
      <c r="R636" s="25">
        <f>IF(OR(A636="",B636=""),"",B636-A636)</f>
        <v/>
      </c>
      <c r="S636" s="26">
        <f>IF(B636="","",YEAR(B636))</f>
        <v/>
      </c>
      <c r="T636" s="27">
        <f>IF(B636="","",IF(OR(F636="Electric",F636="Plug-in",F636="Hibrid"),1,0))</f>
        <v/>
      </c>
    </row>
    <row r="637">
      <c r="A637" s="18" t="n"/>
      <c r="B637" s="18" t="n"/>
      <c r="C637" s="19" t="n"/>
      <c r="D637" s="19" t="n"/>
      <c r="E637" s="20" t="n"/>
      <c r="F637" s="19" t="n"/>
      <c r="G637" s="21" t="n"/>
      <c r="H637" s="22" t="n"/>
      <c r="I637" s="22" t="n"/>
      <c r="J637" s="22" t="n"/>
      <c r="K637" s="19" t="n"/>
      <c r="L637" s="19" t="n"/>
      <c r="M637" s="19" t="n"/>
      <c r="N637" s="19" t="n"/>
      <c r="O637" s="23">
        <f>IF(J637="","",H637+I637)</f>
        <v/>
      </c>
      <c r="P637" s="23">
        <f>IF(J637="","",J637-O637)</f>
        <v/>
      </c>
      <c r="Q637" s="24">
        <f>IF(OR(J637="",J637=0),"",P637/J637)</f>
        <v/>
      </c>
      <c r="R637" s="25">
        <f>IF(OR(A637="",B637=""),"",B637-A637)</f>
        <v/>
      </c>
      <c r="S637" s="26">
        <f>IF(B637="","",YEAR(B637))</f>
        <v/>
      </c>
      <c r="T637" s="27">
        <f>IF(B637="","",IF(OR(F637="Electric",F637="Plug-in",F637="Hibrid"),1,0))</f>
        <v/>
      </c>
    </row>
    <row r="638">
      <c r="A638" s="18" t="n"/>
      <c r="B638" s="18" t="n"/>
      <c r="C638" s="19" t="n"/>
      <c r="D638" s="19" t="n"/>
      <c r="E638" s="20" t="n"/>
      <c r="F638" s="19" t="n"/>
      <c r="G638" s="21" t="n"/>
      <c r="H638" s="22" t="n"/>
      <c r="I638" s="22" t="n"/>
      <c r="J638" s="22" t="n"/>
      <c r="K638" s="19" t="n"/>
      <c r="L638" s="19" t="n"/>
      <c r="M638" s="19" t="n"/>
      <c r="N638" s="19" t="n"/>
      <c r="O638" s="23">
        <f>IF(J638="","",H638+I638)</f>
        <v/>
      </c>
      <c r="P638" s="23">
        <f>IF(J638="","",J638-O638)</f>
        <v/>
      </c>
      <c r="Q638" s="24">
        <f>IF(OR(J638="",J638=0),"",P638/J638)</f>
        <v/>
      </c>
      <c r="R638" s="25">
        <f>IF(OR(A638="",B638=""),"",B638-A638)</f>
        <v/>
      </c>
      <c r="S638" s="26">
        <f>IF(B638="","",YEAR(B638))</f>
        <v/>
      </c>
      <c r="T638" s="27">
        <f>IF(B638="","",IF(OR(F638="Electric",F638="Plug-in",F638="Hibrid"),1,0))</f>
        <v/>
      </c>
    </row>
    <row r="639">
      <c r="A639" s="18" t="n"/>
      <c r="B639" s="18" t="n"/>
      <c r="C639" s="19" t="n"/>
      <c r="D639" s="19" t="n"/>
      <c r="E639" s="20" t="n"/>
      <c r="F639" s="19" t="n"/>
      <c r="G639" s="21" t="n"/>
      <c r="H639" s="22" t="n"/>
      <c r="I639" s="22" t="n"/>
      <c r="J639" s="22" t="n"/>
      <c r="K639" s="19" t="n"/>
      <c r="L639" s="19" t="n"/>
      <c r="M639" s="19" t="n"/>
      <c r="N639" s="19" t="n"/>
      <c r="O639" s="23">
        <f>IF(J639="","",H639+I639)</f>
        <v/>
      </c>
      <c r="P639" s="23">
        <f>IF(J639="","",J639-O639)</f>
        <v/>
      </c>
      <c r="Q639" s="24">
        <f>IF(OR(J639="",J639=0),"",P639/J639)</f>
        <v/>
      </c>
      <c r="R639" s="25">
        <f>IF(OR(A639="",B639=""),"",B639-A639)</f>
        <v/>
      </c>
      <c r="S639" s="26">
        <f>IF(B639="","",YEAR(B639))</f>
        <v/>
      </c>
      <c r="T639" s="27">
        <f>IF(B639="","",IF(OR(F639="Electric",F639="Plug-in",F639="Hibrid"),1,0))</f>
        <v/>
      </c>
    </row>
    <row r="640">
      <c r="A640" s="18" t="n"/>
      <c r="B640" s="18" t="n"/>
      <c r="C640" s="19" t="n"/>
      <c r="D640" s="19" t="n"/>
      <c r="E640" s="20" t="n"/>
      <c r="F640" s="19" t="n"/>
      <c r="G640" s="21" t="n"/>
      <c r="H640" s="22" t="n"/>
      <c r="I640" s="22" t="n"/>
      <c r="J640" s="22" t="n"/>
      <c r="K640" s="19" t="n"/>
      <c r="L640" s="19" t="n"/>
      <c r="M640" s="19" t="n"/>
      <c r="N640" s="19" t="n"/>
      <c r="O640" s="23">
        <f>IF(J640="","",H640+I640)</f>
        <v/>
      </c>
      <c r="P640" s="23">
        <f>IF(J640="","",J640-O640)</f>
        <v/>
      </c>
      <c r="Q640" s="24">
        <f>IF(OR(J640="",J640=0),"",P640/J640)</f>
        <v/>
      </c>
      <c r="R640" s="25">
        <f>IF(OR(A640="",B640=""),"",B640-A640)</f>
        <v/>
      </c>
      <c r="S640" s="26">
        <f>IF(B640="","",YEAR(B640))</f>
        <v/>
      </c>
      <c r="T640" s="27">
        <f>IF(B640="","",IF(OR(F640="Electric",F640="Plug-in",F640="Hibrid"),1,0))</f>
        <v/>
      </c>
    </row>
    <row r="641">
      <c r="A641" s="18" t="n"/>
      <c r="B641" s="18" t="n"/>
      <c r="C641" s="19" t="n"/>
      <c r="D641" s="19" t="n"/>
      <c r="E641" s="20" t="n"/>
      <c r="F641" s="19" t="n"/>
      <c r="G641" s="21" t="n"/>
      <c r="H641" s="22" t="n"/>
      <c r="I641" s="22" t="n"/>
      <c r="J641" s="22" t="n"/>
      <c r="K641" s="19" t="n"/>
      <c r="L641" s="19" t="n"/>
      <c r="M641" s="19" t="n"/>
      <c r="N641" s="19" t="n"/>
      <c r="O641" s="23">
        <f>IF(J641="","",H641+I641)</f>
        <v/>
      </c>
      <c r="P641" s="23">
        <f>IF(J641="","",J641-O641)</f>
        <v/>
      </c>
      <c r="Q641" s="24">
        <f>IF(OR(J641="",J641=0),"",P641/J641)</f>
        <v/>
      </c>
      <c r="R641" s="25">
        <f>IF(OR(A641="",B641=""),"",B641-A641)</f>
        <v/>
      </c>
      <c r="S641" s="26">
        <f>IF(B641="","",YEAR(B641))</f>
        <v/>
      </c>
      <c r="T641" s="27">
        <f>IF(B641="","",IF(OR(F641="Electric",F641="Plug-in",F641="Hibrid"),1,0))</f>
        <v/>
      </c>
    </row>
    <row r="642">
      <c r="A642" s="18" t="n"/>
      <c r="B642" s="18" t="n"/>
      <c r="C642" s="19" t="n"/>
      <c r="D642" s="19" t="n"/>
      <c r="E642" s="20" t="n"/>
      <c r="F642" s="19" t="n"/>
      <c r="G642" s="21" t="n"/>
      <c r="H642" s="22" t="n"/>
      <c r="I642" s="22" t="n"/>
      <c r="J642" s="22" t="n"/>
      <c r="K642" s="19" t="n"/>
      <c r="L642" s="19" t="n"/>
      <c r="M642" s="19" t="n"/>
      <c r="N642" s="19" t="n"/>
      <c r="O642" s="23">
        <f>IF(J642="","",H642+I642)</f>
        <v/>
      </c>
      <c r="P642" s="23">
        <f>IF(J642="","",J642-O642)</f>
        <v/>
      </c>
      <c r="Q642" s="24">
        <f>IF(OR(J642="",J642=0),"",P642/J642)</f>
        <v/>
      </c>
      <c r="R642" s="25">
        <f>IF(OR(A642="",B642=""),"",B642-A642)</f>
        <v/>
      </c>
      <c r="S642" s="26">
        <f>IF(B642="","",YEAR(B642))</f>
        <v/>
      </c>
      <c r="T642" s="27">
        <f>IF(B642="","",IF(OR(F642="Electric",F642="Plug-in",F642="Hibrid"),1,0))</f>
        <v/>
      </c>
    </row>
    <row r="643">
      <c r="A643" s="18" t="n"/>
      <c r="B643" s="18" t="n"/>
      <c r="C643" s="19" t="n"/>
      <c r="D643" s="19" t="n"/>
      <c r="E643" s="20" t="n"/>
      <c r="F643" s="19" t="n"/>
      <c r="G643" s="21" t="n"/>
      <c r="H643" s="22" t="n"/>
      <c r="I643" s="22" t="n"/>
      <c r="J643" s="22" t="n"/>
      <c r="K643" s="19" t="n"/>
      <c r="L643" s="19" t="n"/>
      <c r="M643" s="19" t="n"/>
      <c r="N643" s="19" t="n"/>
      <c r="O643" s="23">
        <f>IF(J643="","",H643+I643)</f>
        <v/>
      </c>
      <c r="P643" s="23">
        <f>IF(J643="","",J643-O643)</f>
        <v/>
      </c>
      <c r="Q643" s="24">
        <f>IF(OR(J643="",J643=0),"",P643/J643)</f>
        <v/>
      </c>
      <c r="R643" s="25">
        <f>IF(OR(A643="",B643=""),"",B643-A643)</f>
        <v/>
      </c>
      <c r="S643" s="26">
        <f>IF(B643="","",YEAR(B643))</f>
        <v/>
      </c>
      <c r="T643" s="27">
        <f>IF(B643="","",IF(OR(F643="Electric",F643="Plug-in",F643="Hibrid"),1,0))</f>
        <v/>
      </c>
    </row>
    <row r="644">
      <c r="A644" s="18" t="n"/>
      <c r="B644" s="18" t="n"/>
      <c r="C644" s="19" t="n"/>
      <c r="D644" s="19" t="n"/>
      <c r="E644" s="20" t="n"/>
      <c r="F644" s="19" t="n"/>
      <c r="G644" s="21" t="n"/>
      <c r="H644" s="22" t="n"/>
      <c r="I644" s="22" t="n"/>
      <c r="J644" s="22" t="n"/>
      <c r="K644" s="19" t="n"/>
      <c r="L644" s="19" t="n"/>
      <c r="M644" s="19" t="n"/>
      <c r="N644" s="19" t="n"/>
      <c r="O644" s="23">
        <f>IF(J644="","",H644+I644)</f>
        <v/>
      </c>
      <c r="P644" s="23">
        <f>IF(J644="","",J644-O644)</f>
        <v/>
      </c>
      <c r="Q644" s="24">
        <f>IF(OR(J644="",J644=0),"",P644/J644)</f>
        <v/>
      </c>
      <c r="R644" s="25">
        <f>IF(OR(A644="",B644=""),"",B644-A644)</f>
        <v/>
      </c>
      <c r="S644" s="26">
        <f>IF(B644="","",YEAR(B644))</f>
        <v/>
      </c>
      <c r="T644" s="27">
        <f>IF(B644="","",IF(OR(F644="Electric",F644="Plug-in",F644="Hibrid"),1,0))</f>
        <v/>
      </c>
    </row>
    <row r="645">
      <c r="A645" s="18" t="n"/>
      <c r="B645" s="18" t="n"/>
      <c r="C645" s="19" t="n"/>
      <c r="D645" s="19" t="n"/>
      <c r="E645" s="20" t="n"/>
      <c r="F645" s="19" t="n"/>
      <c r="G645" s="21" t="n"/>
      <c r="H645" s="22" t="n"/>
      <c r="I645" s="22" t="n"/>
      <c r="J645" s="22" t="n"/>
      <c r="K645" s="19" t="n"/>
      <c r="L645" s="19" t="n"/>
      <c r="M645" s="19" t="n"/>
      <c r="N645" s="19" t="n"/>
      <c r="O645" s="23">
        <f>IF(J645="","",H645+I645)</f>
        <v/>
      </c>
      <c r="P645" s="23">
        <f>IF(J645="","",J645-O645)</f>
        <v/>
      </c>
      <c r="Q645" s="24">
        <f>IF(OR(J645="",J645=0),"",P645/J645)</f>
        <v/>
      </c>
      <c r="R645" s="25">
        <f>IF(OR(A645="",B645=""),"",B645-A645)</f>
        <v/>
      </c>
      <c r="S645" s="26">
        <f>IF(B645="","",YEAR(B645))</f>
        <v/>
      </c>
      <c r="T645" s="27">
        <f>IF(B645="","",IF(OR(F645="Electric",F645="Plug-in",F645="Hibrid"),1,0))</f>
        <v/>
      </c>
    </row>
    <row r="646">
      <c r="A646" s="18" t="n"/>
      <c r="B646" s="18" t="n"/>
      <c r="C646" s="19" t="n"/>
      <c r="D646" s="19" t="n"/>
      <c r="E646" s="20" t="n"/>
      <c r="F646" s="19" t="n"/>
      <c r="G646" s="21" t="n"/>
      <c r="H646" s="22" t="n"/>
      <c r="I646" s="22" t="n"/>
      <c r="J646" s="22" t="n"/>
      <c r="K646" s="19" t="n"/>
      <c r="L646" s="19" t="n"/>
      <c r="M646" s="19" t="n"/>
      <c r="N646" s="19" t="n"/>
      <c r="O646" s="23">
        <f>IF(J646="","",H646+I646)</f>
        <v/>
      </c>
      <c r="P646" s="23">
        <f>IF(J646="","",J646-O646)</f>
        <v/>
      </c>
      <c r="Q646" s="24">
        <f>IF(OR(J646="",J646=0),"",P646/J646)</f>
        <v/>
      </c>
      <c r="R646" s="25">
        <f>IF(OR(A646="",B646=""),"",B646-A646)</f>
        <v/>
      </c>
      <c r="S646" s="26">
        <f>IF(B646="","",YEAR(B646))</f>
        <v/>
      </c>
      <c r="T646" s="27">
        <f>IF(B646="","",IF(OR(F646="Electric",F646="Plug-in",F646="Hibrid"),1,0))</f>
        <v/>
      </c>
    </row>
    <row r="647">
      <c r="A647" s="18" t="n"/>
      <c r="B647" s="18" t="n"/>
      <c r="C647" s="19" t="n"/>
      <c r="D647" s="19" t="n"/>
      <c r="E647" s="20" t="n"/>
      <c r="F647" s="19" t="n"/>
      <c r="G647" s="21" t="n"/>
      <c r="H647" s="22" t="n"/>
      <c r="I647" s="22" t="n"/>
      <c r="J647" s="22" t="n"/>
      <c r="K647" s="19" t="n"/>
      <c r="L647" s="19" t="n"/>
      <c r="M647" s="19" t="n"/>
      <c r="N647" s="19" t="n"/>
      <c r="O647" s="23">
        <f>IF(J647="","",H647+I647)</f>
        <v/>
      </c>
      <c r="P647" s="23">
        <f>IF(J647="","",J647-O647)</f>
        <v/>
      </c>
      <c r="Q647" s="24">
        <f>IF(OR(J647="",J647=0),"",P647/J647)</f>
        <v/>
      </c>
      <c r="R647" s="25">
        <f>IF(OR(A647="",B647=""),"",B647-A647)</f>
        <v/>
      </c>
      <c r="S647" s="26">
        <f>IF(B647="","",YEAR(B647))</f>
        <v/>
      </c>
      <c r="T647" s="27">
        <f>IF(B647="","",IF(OR(F647="Electric",F647="Plug-in",F647="Hibrid"),1,0))</f>
        <v/>
      </c>
    </row>
    <row r="648">
      <c r="A648" s="18" t="n"/>
      <c r="B648" s="18" t="n"/>
      <c r="C648" s="19" t="n"/>
      <c r="D648" s="19" t="n"/>
      <c r="E648" s="20" t="n"/>
      <c r="F648" s="19" t="n"/>
      <c r="G648" s="21" t="n"/>
      <c r="H648" s="22" t="n"/>
      <c r="I648" s="22" t="n"/>
      <c r="J648" s="22" t="n"/>
      <c r="K648" s="19" t="n"/>
      <c r="L648" s="19" t="n"/>
      <c r="M648" s="19" t="n"/>
      <c r="N648" s="19" t="n"/>
      <c r="O648" s="23">
        <f>IF(J648="","",H648+I648)</f>
        <v/>
      </c>
      <c r="P648" s="23">
        <f>IF(J648="","",J648-O648)</f>
        <v/>
      </c>
      <c r="Q648" s="24">
        <f>IF(OR(J648="",J648=0),"",P648/J648)</f>
        <v/>
      </c>
      <c r="R648" s="25">
        <f>IF(OR(A648="",B648=""),"",B648-A648)</f>
        <v/>
      </c>
      <c r="S648" s="26">
        <f>IF(B648="","",YEAR(B648))</f>
        <v/>
      </c>
      <c r="T648" s="27">
        <f>IF(B648="","",IF(OR(F648="Electric",F648="Plug-in",F648="Hibrid"),1,0))</f>
        <v/>
      </c>
    </row>
    <row r="649">
      <c r="A649" s="18" t="n"/>
      <c r="B649" s="18" t="n"/>
      <c r="C649" s="19" t="n"/>
      <c r="D649" s="19" t="n"/>
      <c r="E649" s="20" t="n"/>
      <c r="F649" s="19" t="n"/>
      <c r="G649" s="21" t="n"/>
      <c r="H649" s="22" t="n"/>
      <c r="I649" s="22" t="n"/>
      <c r="J649" s="22" t="n"/>
      <c r="K649" s="19" t="n"/>
      <c r="L649" s="19" t="n"/>
      <c r="M649" s="19" t="n"/>
      <c r="N649" s="19" t="n"/>
      <c r="O649" s="23">
        <f>IF(J649="","",H649+I649)</f>
        <v/>
      </c>
      <c r="P649" s="23">
        <f>IF(J649="","",J649-O649)</f>
        <v/>
      </c>
      <c r="Q649" s="24">
        <f>IF(OR(J649="",J649=0),"",P649/J649)</f>
        <v/>
      </c>
      <c r="R649" s="25">
        <f>IF(OR(A649="",B649=""),"",B649-A649)</f>
        <v/>
      </c>
      <c r="S649" s="26">
        <f>IF(B649="","",YEAR(B649))</f>
        <v/>
      </c>
      <c r="T649" s="27">
        <f>IF(B649="","",IF(OR(F649="Electric",F649="Plug-in",F649="Hibrid"),1,0))</f>
        <v/>
      </c>
    </row>
    <row r="650">
      <c r="A650" s="18" t="n"/>
      <c r="B650" s="18" t="n"/>
      <c r="C650" s="19" t="n"/>
      <c r="D650" s="19" t="n"/>
      <c r="E650" s="20" t="n"/>
      <c r="F650" s="19" t="n"/>
      <c r="G650" s="21" t="n"/>
      <c r="H650" s="22" t="n"/>
      <c r="I650" s="22" t="n"/>
      <c r="J650" s="22" t="n"/>
      <c r="K650" s="19" t="n"/>
      <c r="L650" s="19" t="n"/>
      <c r="M650" s="19" t="n"/>
      <c r="N650" s="19" t="n"/>
      <c r="O650" s="23">
        <f>IF(J650="","",H650+I650)</f>
        <v/>
      </c>
      <c r="P650" s="23">
        <f>IF(J650="","",J650-O650)</f>
        <v/>
      </c>
      <c r="Q650" s="24">
        <f>IF(OR(J650="",J650=0),"",P650/J650)</f>
        <v/>
      </c>
      <c r="R650" s="25">
        <f>IF(OR(A650="",B650=""),"",B650-A650)</f>
        <v/>
      </c>
      <c r="S650" s="26">
        <f>IF(B650="","",YEAR(B650))</f>
        <v/>
      </c>
      <c r="T650" s="27">
        <f>IF(B650="","",IF(OR(F650="Electric",F650="Plug-in",F650="Hibrid"),1,0))</f>
        <v/>
      </c>
    </row>
    <row r="651">
      <c r="A651" s="18" t="n"/>
      <c r="B651" s="18" t="n"/>
      <c r="C651" s="19" t="n"/>
      <c r="D651" s="19" t="n"/>
      <c r="E651" s="20" t="n"/>
      <c r="F651" s="19" t="n"/>
      <c r="G651" s="21" t="n"/>
      <c r="H651" s="22" t="n"/>
      <c r="I651" s="22" t="n"/>
      <c r="J651" s="22" t="n"/>
      <c r="K651" s="19" t="n"/>
      <c r="L651" s="19" t="n"/>
      <c r="M651" s="19" t="n"/>
      <c r="N651" s="19" t="n"/>
      <c r="O651" s="23">
        <f>IF(J651="","",H651+I651)</f>
        <v/>
      </c>
      <c r="P651" s="23">
        <f>IF(J651="","",J651-O651)</f>
        <v/>
      </c>
      <c r="Q651" s="24">
        <f>IF(OR(J651="",J651=0),"",P651/J651)</f>
        <v/>
      </c>
      <c r="R651" s="25">
        <f>IF(OR(A651="",B651=""),"",B651-A651)</f>
        <v/>
      </c>
      <c r="S651" s="26">
        <f>IF(B651="","",YEAR(B651))</f>
        <v/>
      </c>
      <c r="T651" s="27">
        <f>IF(B651="","",IF(OR(F651="Electric",F651="Plug-in",F651="Hibrid"),1,0))</f>
        <v/>
      </c>
    </row>
    <row r="652">
      <c r="A652" s="18" t="n"/>
      <c r="B652" s="18" t="n"/>
      <c r="C652" s="19" t="n"/>
      <c r="D652" s="19" t="n"/>
      <c r="E652" s="20" t="n"/>
      <c r="F652" s="19" t="n"/>
      <c r="G652" s="21" t="n"/>
      <c r="H652" s="22" t="n"/>
      <c r="I652" s="22" t="n"/>
      <c r="J652" s="22" t="n"/>
      <c r="K652" s="19" t="n"/>
      <c r="L652" s="19" t="n"/>
      <c r="M652" s="19" t="n"/>
      <c r="N652" s="19" t="n"/>
      <c r="O652" s="23">
        <f>IF(J652="","",H652+I652)</f>
        <v/>
      </c>
      <c r="P652" s="23">
        <f>IF(J652="","",J652-O652)</f>
        <v/>
      </c>
      <c r="Q652" s="24">
        <f>IF(OR(J652="",J652=0),"",P652/J652)</f>
        <v/>
      </c>
      <c r="R652" s="25">
        <f>IF(OR(A652="",B652=""),"",B652-A652)</f>
        <v/>
      </c>
      <c r="S652" s="26">
        <f>IF(B652="","",YEAR(B652))</f>
        <v/>
      </c>
      <c r="T652" s="27">
        <f>IF(B652="","",IF(OR(F652="Electric",F652="Plug-in",F652="Hibrid"),1,0))</f>
        <v/>
      </c>
    </row>
    <row r="653">
      <c r="A653" s="18" t="n"/>
      <c r="B653" s="18" t="n"/>
      <c r="C653" s="19" t="n"/>
      <c r="D653" s="19" t="n"/>
      <c r="E653" s="20" t="n"/>
      <c r="F653" s="19" t="n"/>
      <c r="G653" s="21" t="n"/>
      <c r="H653" s="22" t="n"/>
      <c r="I653" s="22" t="n"/>
      <c r="J653" s="22" t="n"/>
      <c r="K653" s="19" t="n"/>
      <c r="L653" s="19" t="n"/>
      <c r="M653" s="19" t="n"/>
      <c r="N653" s="19" t="n"/>
      <c r="O653" s="23">
        <f>IF(J653="","",H653+I653)</f>
        <v/>
      </c>
      <c r="P653" s="23">
        <f>IF(J653="","",J653-O653)</f>
        <v/>
      </c>
      <c r="Q653" s="24">
        <f>IF(OR(J653="",J653=0),"",P653/J653)</f>
        <v/>
      </c>
      <c r="R653" s="25">
        <f>IF(OR(A653="",B653=""),"",B653-A653)</f>
        <v/>
      </c>
      <c r="S653" s="26">
        <f>IF(B653="","",YEAR(B653))</f>
        <v/>
      </c>
      <c r="T653" s="27">
        <f>IF(B653="","",IF(OR(F653="Electric",F653="Plug-in",F653="Hibrid"),1,0))</f>
        <v/>
      </c>
    </row>
    <row r="654">
      <c r="A654" s="18" t="n"/>
      <c r="B654" s="18" t="n"/>
      <c r="C654" s="19" t="n"/>
      <c r="D654" s="19" t="n"/>
      <c r="E654" s="20" t="n"/>
      <c r="F654" s="19" t="n"/>
      <c r="G654" s="21" t="n"/>
      <c r="H654" s="22" t="n"/>
      <c r="I654" s="22" t="n"/>
      <c r="J654" s="22" t="n"/>
      <c r="K654" s="19" t="n"/>
      <c r="L654" s="19" t="n"/>
      <c r="M654" s="19" t="n"/>
      <c r="N654" s="19" t="n"/>
      <c r="O654" s="23">
        <f>IF(J654="","",H654+I654)</f>
        <v/>
      </c>
      <c r="P654" s="23">
        <f>IF(J654="","",J654-O654)</f>
        <v/>
      </c>
      <c r="Q654" s="24">
        <f>IF(OR(J654="",J654=0),"",P654/J654)</f>
        <v/>
      </c>
      <c r="R654" s="25">
        <f>IF(OR(A654="",B654=""),"",B654-A654)</f>
        <v/>
      </c>
      <c r="S654" s="26">
        <f>IF(B654="","",YEAR(B654))</f>
        <v/>
      </c>
      <c r="T654" s="27">
        <f>IF(B654="","",IF(OR(F654="Electric",F654="Plug-in",F654="Hibrid"),1,0))</f>
        <v/>
      </c>
    </row>
    <row r="655">
      <c r="A655" s="18" t="n"/>
      <c r="B655" s="18" t="n"/>
      <c r="C655" s="19" t="n"/>
      <c r="D655" s="19" t="n"/>
      <c r="E655" s="20" t="n"/>
      <c r="F655" s="19" t="n"/>
      <c r="G655" s="21" t="n"/>
      <c r="H655" s="22" t="n"/>
      <c r="I655" s="22" t="n"/>
      <c r="J655" s="22" t="n"/>
      <c r="K655" s="19" t="n"/>
      <c r="L655" s="19" t="n"/>
      <c r="M655" s="19" t="n"/>
      <c r="N655" s="19" t="n"/>
      <c r="O655" s="23">
        <f>IF(J655="","",H655+I655)</f>
        <v/>
      </c>
      <c r="P655" s="23">
        <f>IF(J655="","",J655-O655)</f>
        <v/>
      </c>
      <c r="Q655" s="24">
        <f>IF(OR(J655="",J655=0),"",P655/J655)</f>
        <v/>
      </c>
      <c r="R655" s="25">
        <f>IF(OR(A655="",B655=""),"",B655-A655)</f>
        <v/>
      </c>
      <c r="S655" s="26">
        <f>IF(B655="","",YEAR(B655))</f>
        <v/>
      </c>
      <c r="T655" s="27">
        <f>IF(B655="","",IF(OR(F655="Electric",F655="Plug-in",F655="Hibrid"),1,0))</f>
        <v/>
      </c>
    </row>
    <row r="656">
      <c r="A656" s="18" t="n"/>
      <c r="B656" s="18" t="n"/>
      <c r="C656" s="19" t="n"/>
      <c r="D656" s="19" t="n"/>
      <c r="E656" s="20" t="n"/>
      <c r="F656" s="19" t="n"/>
      <c r="G656" s="21" t="n"/>
      <c r="H656" s="22" t="n"/>
      <c r="I656" s="22" t="n"/>
      <c r="J656" s="22" t="n"/>
      <c r="K656" s="19" t="n"/>
      <c r="L656" s="19" t="n"/>
      <c r="M656" s="19" t="n"/>
      <c r="N656" s="19" t="n"/>
      <c r="O656" s="23">
        <f>IF(J656="","",H656+I656)</f>
        <v/>
      </c>
      <c r="P656" s="23">
        <f>IF(J656="","",J656-O656)</f>
        <v/>
      </c>
      <c r="Q656" s="24">
        <f>IF(OR(J656="",J656=0),"",P656/J656)</f>
        <v/>
      </c>
      <c r="R656" s="25">
        <f>IF(OR(A656="",B656=""),"",B656-A656)</f>
        <v/>
      </c>
      <c r="S656" s="26">
        <f>IF(B656="","",YEAR(B656))</f>
        <v/>
      </c>
      <c r="T656" s="27">
        <f>IF(B656="","",IF(OR(F656="Electric",F656="Plug-in",F656="Hibrid"),1,0))</f>
        <v/>
      </c>
    </row>
    <row r="657">
      <c r="A657" s="18" t="n"/>
      <c r="B657" s="18" t="n"/>
      <c r="C657" s="19" t="n"/>
      <c r="D657" s="19" t="n"/>
      <c r="E657" s="20" t="n"/>
      <c r="F657" s="19" t="n"/>
      <c r="G657" s="21" t="n"/>
      <c r="H657" s="22" t="n"/>
      <c r="I657" s="22" t="n"/>
      <c r="J657" s="22" t="n"/>
      <c r="K657" s="19" t="n"/>
      <c r="L657" s="19" t="n"/>
      <c r="M657" s="19" t="n"/>
      <c r="N657" s="19" t="n"/>
      <c r="O657" s="23">
        <f>IF(J657="","",H657+I657)</f>
        <v/>
      </c>
      <c r="P657" s="23">
        <f>IF(J657="","",J657-O657)</f>
        <v/>
      </c>
      <c r="Q657" s="24">
        <f>IF(OR(J657="",J657=0),"",P657/J657)</f>
        <v/>
      </c>
      <c r="R657" s="25">
        <f>IF(OR(A657="",B657=""),"",B657-A657)</f>
        <v/>
      </c>
      <c r="S657" s="26">
        <f>IF(B657="","",YEAR(B657))</f>
        <v/>
      </c>
      <c r="T657" s="27">
        <f>IF(B657="","",IF(OR(F657="Electric",F657="Plug-in",F657="Hibrid"),1,0))</f>
        <v/>
      </c>
    </row>
    <row r="658">
      <c r="A658" s="18" t="n"/>
      <c r="B658" s="18" t="n"/>
      <c r="C658" s="19" t="n"/>
      <c r="D658" s="19" t="n"/>
      <c r="E658" s="20" t="n"/>
      <c r="F658" s="19" t="n"/>
      <c r="G658" s="21" t="n"/>
      <c r="H658" s="22" t="n"/>
      <c r="I658" s="22" t="n"/>
      <c r="J658" s="22" t="n"/>
      <c r="K658" s="19" t="n"/>
      <c r="L658" s="19" t="n"/>
      <c r="M658" s="19" t="n"/>
      <c r="N658" s="19" t="n"/>
      <c r="O658" s="23">
        <f>IF(J658="","",H658+I658)</f>
        <v/>
      </c>
      <c r="P658" s="23">
        <f>IF(J658="","",J658-O658)</f>
        <v/>
      </c>
      <c r="Q658" s="24">
        <f>IF(OR(J658="",J658=0),"",P658/J658)</f>
        <v/>
      </c>
      <c r="R658" s="25">
        <f>IF(OR(A658="",B658=""),"",B658-A658)</f>
        <v/>
      </c>
      <c r="S658" s="26">
        <f>IF(B658="","",YEAR(B658))</f>
        <v/>
      </c>
      <c r="T658" s="27">
        <f>IF(B658="","",IF(OR(F658="Electric",F658="Plug-in",F658="Hibrid"),1,0))</f>
        <v/>
      </c>
    </row>
    <row r="659">
      <c r="A659" s="18" t="n"/>
      <c r="B659" s="18" t="n"/>
      <c r="C659" s="19" t="n"/>
      <c r="D659" s="19" t="n"/>
      <c r="E659" s="20" t="n"/>
      <c r="F659" s="19" t="n"/>
      <c r="G659" s="21" t="n"/>
      <c r="H659" s="22" t="n"/>
      <c r="I659" s="22" t="n"/>
      <c r="J659" s="22" t="n"/>
      <c r="K659" s="19" t="n"/>
      <c r="L659" s="19" t="n"/>
      <c r="M659" s="19" t="n"/>
      <c r="N659" s="19" t="n"/>
      <c r="O659" s="23">
        <f>IF(J659="","",H659+I659)</f>
        <v/>
      </c>
      <c r="P659" s="23">
        <f>IF(J659="","",J659-O659)</f>
        <v/>
      </c>
      <c r="Q659" s="24">
        <f>IF(OR(J659="",J659=0),"",P659/J659)</f>
        <v/>
      </c>
      <c r="R659" s="25">
        <f>IF(OR(A659="",B659=""),"",B659-A659)</f>
        <v/>
      </c>
      <c r="S659" s="26">
        <f>IF(B659="","",YEAR(B659))</f>
        <v/>
      </c>
      <c r="T659" s="27">
        <f>IF(B659="","",IF(OR(F659="Electric",F659="Plug-in",F659="Hibrid"),1,0))</f>
        <v/>
      </c>
    </row>
    <row r="660">
      <c r="A660" s="18" t="n"/>
      <c r="B660" s="18" t="n"/>
      <c r="C660" s="19" t="n"/>
      <c r="D660" s="19" t="n"/>
      <c r="E660" s="20" t="n"/>
      <c r="F660" s="19" t="n"/>
      <c r="G660" s="21" t="n"/>
      <c r="H660" s="22" t="n"/>
      <c r="I660" s="22" t="n"/>
      <c r="J660" s="22" t="n"/>
      <c r="K660" s="19" t="n"/>
      <c r="L660" s="19" t="n"/>
      <c r="M660" s="19" t="n"/>
      <c r="N660" s="19" t="n"/>
      <c r="O660" s="23">
        <f>IF(J660="","",H660+I660)</f>
        <v/>
      </c>
      <c r="P660" s="23">
        <f>IF(J660="","",J660-O660)</f>
        <v/>
      </c>
      <c r="Q660" s="24">
        <f>IF(OR(J660="",J660=0),"",P660/J660)</f>
        <v/>
      </c>
      <c r="R660" s="25">
        <f>IF(OR(A660="",B660=""),"",B660-A660)</f>
        <v/>
      </c>
      <c r="S660" s="26">
        <f>IF(B660="","",YEAR(B660))</f>
        <v/>
      </c>
      <c r="T660" s="27">
        <f>IF(B660="","",IF(OR(F660="Electric",F660="Plug-in",F660="Hibrid"),1,0))</f>
        <v/>
      </c>
    </row>
    <row r="661">
      <c r="A661" s="18" t="n"/>
      <c r="B661" s="18" t="n"/>
      <c r="C661" s="19" t="n"/>
      <c r="D661" s="19" t="n"/>
      <c r="E661" s="20" t="n"/>
      <c r="F661" s="19" t="n"/>
      <c r="G661" s="21" t="n"/>
      <c r="H661" s="22" t="n"/>
      <c r="I661" s="22" t="n"/>
      <c r="J661" s="22" t="n"/>
      <c r="K661" s="19" t="n"/>
      <c r="L661" s="19" t="n"/>
      <c r="M661" s="19" t="n"/>
      <c r="N661" s="19" t="n"/>
      <c r="O661" s="23">
        <f>IF(J661="","",H661+I661)</f>
        <v/>
      </c>
      <c r="P661" s="23">
        <f>IF(J661="","",J661-O661)</f>
        <v/>
      </c>
      <c r="Q661" s="24">
        <f>IF(OR(J661="",J661=0),"",P661/J661)</f>
        <v/>
      </c>
      <c r="R661" s="25">
        <f>IF(OR(A661="",B661=""),"",B661-A661)</f>
        <v/>
      </c>
      <c r="S661" s="26">
        <f>IF(B661="","",YEAR(B661))</f>
        <v/>
      </c>
      <c r="T661" s="27">
        <f>IF(B661="","",IF(OR(F661="Electric",F661="Plug-in",F661="Hibrid"),1,0))</f>
        <v/>
      </c>
    </row>
    <row r="662">
      <c r="A662" s="18" t="n"/>
      <c r="B662" s="18" t="n"/>
      <c r="C662" s="19" t="n"/>
      <c r="D662" s="19" t="n"/>
      <c r="E662" s="20" t="n"/>
      <c r="F662" s="19" t="n"/>
      <c r="G662" s="21" t="n"/>
      <c r="H662" s="22" t="n"/>
      <c r="I662" s="22" t="n"/>
      <c r="J662" s="22" t="n"/>
      <c r="K662" s="19" t="n"/>
      <c r="L662" s="19" t="n"/>
      <c r="M662" s="19" t="n"/>
      <c r="N662" s="19" t="n"/>
      <c r="O662" s="23">
        <f>IF(J662="","",H662+I662)</f>
        <v/>
      </c>
      <c r="P662" s="23">
        <f>IF(J662="","",J662-O662)</f>
        <v/>
      </c>
      <c r="Q662" s="24">
        <f>IF(OR(J662="",J662=0),"",P662/J662)</f>
        <v/>
      </c>
      <c r="R662" s="25">
        <f>IF(OR(A662="",B662=""),"",B662-A662)</f>
        <v/>
      </c>
      <c r="S662" s="26">
        <f>IF(B662="","",YEAR(B662))</f>
        <v/>
      </c>
      <c r="T662" s="27">
        <f>IF(B662="","",IF(OR(F662="Electric",F662="Plug-in",F662="Hibrid"),1,0))</f>
        <v/>
      </c>
    </row>
    <row r="663">
      <c r="A663" s="18" t="n"/>
      <c r="B663" s="18" t="n"/>
      <c r="C663" s="19" t="n"/>
      <c r="D663" s="19" t="n"/>
      <c r="E663" s="20" t="n"/>
      <c r="F663" s="19" t="n"/>
      <c r="G663" s="21" t="n"/>
      <c r="H663" s="22" t="n"/>
      <c r="I663" s="22" t="n"/>
      <c r="J663" s="22" t="n"/>
      <c r="K663" s="19" t="n"/>
      <c r="L663" s="19" t="n"/>
      <c r="M663" s="19" t="n"/>
      <c r="N663" s="19" t="n"/>
      <c r="O663" s="23">
        <f>IF(J663="","",H663+I663)</f>
        <v/>
      </c>
      <c r="P663" s="23">
        <f>IF(J663="","",J663-O663)</f>
        <v/>
      </c>
      <c r="Q663" s="24">
        <f>IF(OR(J663="",J663=0),"",P663/J663)</f>
        <v/>
      </c>
      <c r="R663" s="25">
        <f>IF(OR(A663="",B663=""),"",B663-A663)</f>
        <v/>
      </c>
      <c r="S663" s="26">
        <f>IF(B663="","",YEAR(B663))</f>
        <v/>
      </c>
      <c r="T663" s="27">
        <f>IF(B663="","",IF(OR(F663="Electric",F663="Plug-in",F663="Hibrid"),1,0))</f>
        <v/>
      </c>
    </row>
    <row r="664">
      <c r="A664" s="18" t="n"/>
      <c r="B664" s="18" t="n"/>
      <c r="C664" s="19" t="n"/>
      <c r="D664" s="19" t="n"/>
      <c r="E664" s="20" t="n"/>
      <c r="F664" s="19" t="n"/>
      <c r="G664" s="21" t="n"/>
      <c r="H664" s="22" t="n"/>
      <c r="I664" s="22" t="n"/>
      <c r="J664" s="22" t="n"/>
      <c r="K664" s="19" t="n"/>
      <c r="L664" s="19" t="n"/>
      <c r="M664" s="19" t="n"/>
      <c r="N664" s="19" t="n"/>
      <c r="O664" s="23">
        <f>IF(J664="","",H664+I664)</f>
        <v/>
      </c>
      <c r="P664" s="23">
        <f>IF(J664="","",J664-O664)</f>
        <v/>
      </c>
      <c r="Q664" s="24">
        <f>IF(OR(J664="",J664=0),"",P664/J664)</f>
        <v/>
      </c>
      <c r="R664" s="25">
        <f>IF(OR(A664="",B664=""),"",B664-A664)</f>
        <v/>
      </c>
      <c r="S664" s="26">
        <f>IF(B664="","",YEAR(B664))</f>
        <v/>
      </c>
      <c r="T664" s="27">
        <f>IF(B664="","",IF(OR(F664="Electric",F664="Plug-in",F664="Hibrid"),1,0))</f>
        <v/>
      </c>
    </row>
    <row r="665">
      <c r="A665" s="18" t="n"/>
      <c r="B665" s="18" t="n"/>
      <c r="C665" s="19" t="n"/>
      <c r="D665" s="19" t="n"/>
      <c r="E665" s="20" t="n"/>
      <c r="F665" s="19" t="n"/>
      <c r="G665" s="21" t="n"/>
      <c r="H665" s="22" t="n"/>
      <c r="I665" s="22" t="n"/>
      <c r="J665" s="22" t="n"/>
      <c r="K665" s="19" t="n"/>
      <c r="L665" s="19" t="n"/>
      <c r="M665" s="19" t="n"/>
      <c r="N665" s="19" t="n"/>
      <c r="O665" s="23">
        <f>IF(J665="","",H665+I665)</f>
        <v/>
      </c>
      <c r="P665" s="23">
        <f>IF(J665="","",J665-O665)</f>
        <v/>
      </c>
      <c r="Q665" s="24">
        <f>IF(OR(J665="",J665=0),"",P665/J665)</f>
        <v/>
      </c>
      <c r="R665" s="25">
        <f>IF(OR(A665="",B665=""),"",B665-A665)</f>
        <v/>
      </c>
      <c r="S665" s="26">
        <f>IF(B665="","",YEAR(B665))</f>
        <v/>
      </c>
      <c r="T665" s="27">
        <f>IF(B665="","",IF(OR(F665="Electric",F665="Plug-in",F665="Hibrid"),1,0))</f>
        <v/>
      </c>
    </row>
    <row r="666">
      <c r="A666" s="18" t="n"/>
      <c r="B666" s="18" t="n"/>
      <c r="C666" s="19" t="n"/>
      <c r="D666" s="19" t="n"/>
      <c r="E666" s="20" t="n"/>
      <c r="F666" s="19" t="n"/>
      <c r="G666" s="21" t="n"/>
      <c r="H666" s="22" t="n"/>
      <c r="I666" s="22" t="n"/>
      <c r="J666" s="22" t="n"/>
      <c r="K666" s="19" t="n"/>
      <c r="L666" s="19" t="n"/>
      <c r="M666" s="19" t="n"/>
      <c r="N666" s="19" t="n"/>
      <c r="O666" s="23">
        <f>IF(J666="","",H666+I666)</f>
        <v/>
      </c>
      <c r="P666" s="23">
        <f>IF(J666="","",J666-O666)</f>
        <v/>
      </c>
      <c r="Q666" s="24">
        <f>IF(OR(J666="",J666=0),"",P666/J666)</f>
        <v/>
      </c>
      <c r="R666" s="25">
        <f>IF(OR(A666="",B666=""),"",B666-A666)</f>
        <v/>
      </c>
      <c r="S666" s="26">
        <f>IF(B666="","",YEAR(B666))</f>
        <v/>
      </c>
      <c r="T666" s="27">
        <f>IF(B666="","",IF(OR(F666="Electric",F666="Plug-in",F666="Hibrid"),1,0))</f>
        <v/>
      </c>
    </row>
    <row r="667">
      <c r="A667" s="18" t="n"/>
      <c r="B667" s="18" t="n"/>
      <c r="C667" s="19" t="n"/>
      <c r="D667" s="19" t="n"/>
      <c r="E667" s="20" t="n"/>
      <c r="F667" s="19" t="n"/>
      <c r="G667" s="21" t="n"/>
      <c r="H667" s="22" t="n"/>
      <c r="I667" s="22" t="n"/>
      <c r="J667" s="22" t="n"/>
      <c r="K667" s="19" t="n"/>
      <c r="L667" s="19" t="n"/>
      <c r="M667" s="19" t="n"/>
      <c r="N667" s="19" t="n"/>
      <c r="O667" s="23">
        <f>IF(J667="","",H667+I667)</f>
        <v/>
      </c>
      <c r="P667" s="23">
        <f>IF(J667="","",J667-O667)</f>
        <v/>
      </c>
      <c r="Q667" s="24">
        <f>IF(OR(J667="",J667=0),"",P667/J667)</f>
        <v/>
      </c>
      <c r="R667" s="25">
        <f>IF(OR(A667="",B667=""),"",B667-A667)</f>
        <v/>
      </c>
      <c r="S667" s="26">
        <f>IF(B667="","",YEAR(B667))</f>
        <v/>
      </c>
      <c r="T667" s="27">
        <f>IF(B667="","",IF(OR(F667="Electric",F667="Plug-in",F667="Hibrid"),1,0))</f>
        <v/>
      </c>
    </row>
    <row r="668">
      <c r="A668" s="18" t="n"/>
      <c r="B668" s="18" t="n"/>
      <c r="C668" s="19" t="n"/>
      <c r="D668" s="19" t="n"/>
      <c r="E668" s="20" t="n"/>
      <c r="F668" s="19" t="n"/>
      <c r="G668" s="21" t="n"/>
      <c r="H668" s="22" t="n"/>
      <c r="I668" s="22" t="n"/>
      <c r="J668" s="22" t="n"/>
      <c r="K668" s="19" t="n"/>
      <c r="L668" s="19" t="n"/>
      <c r="M668" s="19" t="n"/>
      <c r="N668" s="19" t="n"/>
      <c r="O668" s="23">
        <f>IF(J668="","",H668+I668)</f>
        <v/>
      </c>
      <c r="P668" s="23">
        <f>IF(J668="","",J668-O668)</f>
        <v/>
      </c>
      <c r="Q668" s="24">
        <f>IF(OR(J668="",J668=0),"",P668/J668)</f>
        <v/>
      </c>
      <c r="R668" s="25">
        <f>IF(OR(A668="",B668=""),"",B668-A668)</f>
        <v/>
      </c>
      <c r="S668" s="26">
        <f>IF(B668="","",YEAR(B668))</f>
        <v/>
      </c>
      <c r="T668" s="27">
        <f>IF(B668="","",IF(OR(F668="Electric",F668="Plug-in",F668="Hibrid"),1,0))</f>
        <v/>
      </c>
    </row>
    <row r="669">
      <c r="A669" s="18" t="n"/>
      <c r="B669" s="18" t="n"/>
      <c r="C669" s="19" t="n"/>
      <c r="D669" s="19" t="n"/>
      <c r="E669" s="20" t="n"/>
      <c r="F669" s="19" t="n"/>
      <c r="G669" s="21" t="n"/>
      <c r="H669" s="22" t="n"/>
      <c r="I669" s="22" t="n"/>
      <c r="J669" s="22" t="n"/>
      <c r="K669" s="19" t="n"/>
      <c r="L669" s="19" t="n"/>
      <c r="M669" s="19" t="n"/>
      <c r="N669" s="19" t="n"/>
      <c r="O669" s="23">
        <f>IF(J669="","",H669+I669)</f>
        <v/>
      </c>
      <c r="P669" s="23">
        <f>IF(J669="","",J669-O669)</f>
        <v/>
      </c>
      <c r="Q669" s="24">
        <f>IF(OR(J669="",J669=0),"",P669/J669)</f>
        <v/>
      </c>
      <c r="R669" s="25">
        <f>IF(OR(A669="",B669=""),"",B669-A669)</f>
        <v/>
      </c>
      <c r="S669" s="26">
        <f>IF(B669="","",YEAR(B669))</f>
        <v/>
      </c>
      <c r="T669" s="27">
        <f>IF(B669="","",IF(OR(F669="Electric",F669="Plug-in",F669="Hibrid"),1,0))</f>
        <v/>
      </c>
    </row>
    <row r="670">
      <c r="A670" s="18" t="n"/>
      <c r="B670" s="18" t="n"/>
      <c r="C670" s="19" t="n"/>
      <c r="D670" s="19" t="n"/>
      <c r="E670" s="20" t="n"/>
      <c r="F670" s="19" t="n"/>
      <c r="G670" s="21" t="n"/>
      <c r="H670" s="22" t="n"/>
      <c r="I670" s="22" t="n"/>
      <c r="J670" s="22" t="n"/>
      <c r="K670" s="19" t="n"/>
      <c r="L670" s="19" t="n"/>
      <c r="M670" s="19" t="n"/>
      <c r="N670" s="19" t="n"/>
      <c r="O670" s="23">
        <f>IF(J670="","",H670+I670)</f>
        <v/>
      </c>
      <c r="P670" s="23">
        <f>IF(J670="","",J670-O670)</f>
        <v/>
      </c>
      <c r="Q670" s="24">
        <f>IF(OR(J670="",J670=0),"",P670/J670)</f>
        <v/>
      </c>
      <c r="R670" s="25">
        <f>IF(OR(A670="",B670=""),"",B670-A670)</f>
        <v/>
      </c>
      <c r="S670" s="26">
        <f>IF(B670="","",YEAR(B670))</f>
        <v/>
      </c>
      <c r="T670" s="27">
        <f>IF(B670="","",IF(OR(F670="Electric",F670="Plug-in",F670="Hibrid"),1,0))</f>
        <v/>
      </c>
    </row>
    <row r="671">
      <c r="A671" s="18" t="n"/>
      <c r="B671" s="18" t="n"/>
      <c r="C671" s="19" t="n"/>
      <c r="D671" s="19" t="n"/>
      <c r="E671" s="20" t="n"/>
      <c r="F671" s="19" t="n"/>
      <c r="G671" s="21" t="n"/>
      <c r="H671" s="22" t="n"/>
      <c r="I671" s="22" t="n"/>
      <c r="J671" s="22" t="n"/>
      <c r="K671" s="19" t="n"/>
      <c r="L671" s="19" t="n"/>
      <c r="M671" s="19" t="n"/>
      <c r="N671" s="19" t="n"/>
      <c r="O671" s="23">
        <f>IF(J671="","",H671+I671)</f>
        <v/>
      </c>
      <c r="P671" s="23">
        <f>IF(J671="","",J671-O671)</f>
        <v/>
      </c>
      <c r="Q671" s="24">
        <f>IF(OR(J671="",J671=0),"",P671/J671)</f>
        <v/>
      </c>
      <c r="R671" s="25">
        <f>IF(OR(A671="",B671=""),"",B671-A671)</f>
        <v/>
      </c>
      <c r="S671" s="26">
        <f>IF(B671="","",YEAR(B671))</f>
        <v/>
      </c>
      <c r="T671" s="27">
        <f>IF(B671="","",IF(OR(F671="Electric",F671="Plug-in",F671="Hibrid"),1,0))</f>
        <v/>
      </c>
    </row>
    <row r="672">
      <c r="A672" s="18" t="n"/>
      <c r="B672" s="18" t="n"/>
      <c r="C672" s="19" t="n"/>
      <c r="D672" s="19" t="n"/>
      <c r="E672" s="20" t="n"/>
      <c r="F672" s="19" t="n"/>
      <c r="G672" s="21" t="n"/>
      <c r="H672" s="22" t="n"/>
      <c r="I672" s="22" t="n"/>
      <c r="J672" s="22" t="n"/>
      <c r="K672" s="19" t="n"/>
      <c r="L672" s="19" t="n"/>
      <c r="M672" s="19" t="n"/>
      <c r="N672" s="19" t="n"/>
      <c r="O672" s="23">
        <f>IF(J672="","",H672+I672)</f>
        <v/>
      </c>
      <c r="P672" s="23">
        <f>IF(J672="","",J672-O672)</f>
        <v/>
      </c>
      <c r="Q672" s="24">
        <f>IF(OR(J672="",J672=0),"",P672/J672)</f>
        <v/>
      </c>
      <c r="R672" s="25">
        <f>IF(OR(A672="",B672=""),"",B672-A672)</f>
        <v/>
      </c>
      <c r="S672" s="26">
        <f>IF(B672="","",YEAR(B672))</f>
        <v/>
      </c>
      <c r="T672" s="27">
        <f>IF(B672="","",IF(OR(F672="Electric",F672="Plug-in",F672="Hibrid"),1,0))</f>
        <v/>
      </c>
    </row>
    <row r="673">
      <c r="A673" s="18" t="n"/>
      <c r="B673" s="18" t="n"/>
      <c r="C673" s="19" t="n"/>
      <c r="D673" s="19" t="n"/>
      <c r="E673" s="20" t="n"/>
      <c r="F673" s="19" t="n"/>
      <c r="G673" s="21" t="n"/>
      <c r="H673" s="22" t="n"/>
      <c r="I673" s="22" t="n"/>
      <c r="J673" s="22" t="n"/>
      <c r="K673" s="19" t="n"/>
      <c r="L673" s="19" t="n"/>
      <c r="M673" s="19" t="n"/>
      <c r="N673" s="19" t="n"/>
      <c r="O673" s="23">
        <f>IF(J673="","",H673+I673)</f>
        <v/>
      </c>
      <c r="P673" s="23">
        <f>IF(J673="","",J673-O673)</f>
        <v/>
      </c>
      <c r="Q673" s="24">
        <f>IF(OR(J673="",J673=0),"",P673/J673)</f>
        <v/>
      </c>
      <c r="R673" s="25">
        <f>IF(OR(A673="",B673=""),"",B673-A673)</f>
        <v/>
      </c>
      <c r="S673" s="26">
        <f>IF(B673="","",YEAR(B673))</f>
        <v/>
      </c>
      <c r="T673" s="27">
        <f>IF(B673="","",IF(OR(F673="Electric",F673="Plug-in",F673="Hibrid"),1,0))</f>
        <v/>
      </c>
    </row>
    <row r="674">
      <c r="A674" s="18" t="n"/>
      <c r="B674" s="18" t="n"/>
      <c r="C674" s="19" t="n"/>
      <c r="D674" s="19" t="n"/>
      <c r="E674" s="20" t="n"/>
      <c r="F674" s="19" t="n"/>
      <c r="G674" s="21" t="n"/>
      <c r="H674" s="22" t="n"/>
      <c r="I674" s="22" t="n"/>
      <c r="J674" s="22" t="n"/>
      <c r="K674" s="19" t="n"/>
      <c r="L674" s="19" t="n"/>
      <c r="M674" s="19" t="n"/>
      <c r="N674" s="19" t="n"/>
      <c r="O674" s="23">
        <f>IF(J674="","",H674+I674)</f>
        <v/>
      </c>
      <c r="P674" s="23">
        <f>IF(J674="","",J674-O674)</f>
        <v/>
      </c>
      <c r="Q674" s="24">
        <f>IF(OR(J674="",J674=0),"",P674/J674)</f>
        <v/>
      </c>
      <c r="R674" s="25">
        <f>IF(OR(A674="",B674=""),"",B674-A674)</f>
        <v/>
      </c>
      <c r="S674" s="26">
        <f>IF(B674="","",YEAR(B674))</f>
        <v/>
      </c>
      <c r="T674" s="27">
        <f>IF(B674="","",IF(OR(F674="Electric",F674="Plug-in",F674="Hibrid"),1,0))</f>
        <v/>
      </c>
    </row>
    <row r="675">
      <c r="A675" s="18" t="n"/>
      <c r="B675" s="18" t="n"/>
      <c r="C675" s="19" t="n"/>
      <c r="D675" s="19" t="n"/>
      <c r="E675" s="20" t="n"/>
      <c r="F675" s="19" t="n"/>
      <c r="G675" s="21" t="n"/>
      <c r="H675" s="22" t="n"/>
      <c r="I675" s="22" t="n"/>
      <c r="J675" s="22" t="n"/>
      <c r="K675" s="19" t="n"/>
      <c r="L675" s="19" t="n"/>
      <c r="M675" s="19" t="n"/>
      <c r="N675" s="19" t="n"/>
      <c r="O675" s="23">
        <f>IF(J675="","",H675+I675)</f>
        <v/>
      </c>
      <c r="P675" s="23">
        <f>IF(J675="","",J675-O675)</f>
        <v/>
      </c>
      <c r="Q675" s="24">
        <f>IF(OR(J675="",J675=0),"",P675/J675)</f>
        <v/>
      </c>
      <c r="R675" s="25">
        <f>IF(OR(A675="",B675=""),"",B675-A675)</f>
        <v/>
      </c>
      <c r="S675" s="26">
        <f>IF(B675="","",YEAR(B675))</f>
        <v/>
      </c>
      <c r="T675" s="27">
        <f>IF(B675="","",IF(OR(F675="Electric",F675="Plug-in",F675="Hibrid"),1,0))</f>
        <v/>
      </c>
    </row>
    <row r="676">
      <c r="A676" s="18" t="n"/>
      <c r="B676" s="18" t="n"/>
      <c r="C676" s="19" t="n"/>
      <c r="D676" s="19" t="n"/>
      <c r="E676" s="20" t="n"/>
      <c r="F676" s="19" t="n"/>
      <c r="G676" s="21" t="n"/>
      <c r="H676" s="22" t="n"/>
      <c r="I676" s="22" t="n"/>
      <c r="J676" s="22" t="n"/>
      <c r="K676" s="19" t="n"/>
      <c r="L676" s="19" t="n"/>
      <c r="M676" s="19" t="n"/>
      <c r="N676" s="19" t="n"/>
      <c r="O676" s="23">
        <f>IF(J676="","",H676+I676)</f>
        <v/>
      </c>
      <c r="P676" s="23">
        <f>IF(J676="","",J676-O676)</f>
        <v/>
      </c>
      <c r="Q676" s="24">
        <f>IF(OR(J676="",J676=0),"",P676/J676)</f>
        <v/>
      </c>
      <c r="R676" s="25">
        <f>IF(OR(A676="",B676=""),"",B676-A676)</f>
        <v/>
      </c>
      <c r="S676" s="26">
        <f>IF(B676="","",YEAR(B676))</f>
        <v/>
      </c>
      <c r="T676" s="27">
        <f>IF(B676="","",IF(OR(F676="Electric",F676="Plug-in",F676="Hibrid"),1,0))</f>
        <v/>
      </c>
    </row>
    <row r="677">
      <c r="A677" s="18" t="n"/>
      <c r="B677" s="18" t="n"/>
      <c r="C677" s="19" t="n"/>
      <c r="D677" s="19" t="n"/>
      <c r="E677" s="20" t="n"/>
      <c r="F677" s="19" t="n"/>
      <c r="G677" s="21" t="n"/>
      <c r="H677" s="22" t="n"/>
      <c r="I677" s="22" t="n"/>
      <c r="J677" s="22" t="n"/>
      <c r="K677" s="19" t="n"/>
      <c r="L677" s="19" t="n"/>
      <c r="M677" s="19" t="n"/>
      <c r="N677" s="19" t="n"/>
      <c r="O677" s="23">
        <f>IF(J677="","",H677+I677)</f>
        <v/>
      </c>
      <c r="P677" s="23">
        <f>IF(J677="","",J677-O677)</f>
        <v/>
      </c>
      <c r="Q677" s="24">
        <f>IF(OR(J677="",J677=0),"",P677/J677)</f>
        <v/>
      </c>
      <c r="R677" s="25">
        <f>IF(OR(A677="",B677=""),"",B677-A677)</f>
        <v/>
      </c>
      <c r="S677" s="26">
        <f>IF(B677="","",YEAR(B677))</f>
        <v/>
      </c>
      <c r="T677" s="27">
        <f>IF(B677="","",IF(OR(F677="Electric",F677="Plug-in",F677="Hibrid"),1,0))</f>
        <v/>
      </c>
    </row>
    <row r="678">
      <c r="A678" s="18" t="n"/>
      <c r="B678" s="18" t="n"/>
      <c r="C678" s="19" t="n"/>
      <c r="D678" s="19" t="n"/>
      <c r="E678" s="20" t="n"/>
      <c r="F678" s="19" t="n"/>
      <c r="G678" s="21" t="n"/>
      <c r="H678" s="22" t="n"/>
      <c r="I678" s="22" t="n"/>
      <c r="J678" s="22" t="n"/>
      <c r="K678" s="19" t="n"/>
      <c r="L678" s="19" t="n"/>
      <c r="M678" s="19" t="n"/>
      <c r="N678" s="19" t="n"/>
      <c r="O678" s="23">
        <f>IF(J678="","",H678+I678)</f>
        <v/>
      </c>
      <c r="P678" s="23">
        <f>IF(J678="","",J678-O678)</f>
        <v/>
      </c>
      <c r="Q678" s="24">
        <f>IF(OR(J678="",J678=0),"",P678/J678)</f>
        <v/>
      </c>
      <c r="R678" s="25">
        <f>IF(OR(A678="",B678=""),"",B678-A678)</f>
        <v/>
      </c>
      <c r="S678" s="26">
        <f>IF(B678="","",YEAR(B678))</f>
        <v/>
      </c>
      <c r="T678" s="27">
        <f>IF(B678="","",IF(OR(F678="Electric",F678="Plug-in",F678="Hibrid"),1,0))</f>
        <v/>
      </c>
    </row>
    <row r="679">
      <c r="A679" s="18" t="n"/>
      <c r="B679" s="18" t="n"/>
      <c r="C679" s="19" t="n"/>
      <c r="D679" s="19" t="n"/>
      <c r="E679" s="20" t="n"/>
      <c r="F679" s="19" t="n"/>
      <c r="G679" s="21" t="n"/>
      <c r="H679" s="22" t="n"/>
      <c r="I679" s="22" t="n"/>
      <c r="J679" s="22" t="n"/>
      <c r="K679" s="19" t="n"/>
      <c r="L679" s="19" t="n"/>
      <c r="M679" s="19" t="n"/>
      <c r="N679" s="19" t="n"/>
      <c r="O679" s="23">
        <f>IF(J679="","",H679+I679)</f>
        <v/>
      </c>
      <c r="P679" s="23">
        <f>IF(J679="","",J679-O679)</f>
        <v/>
      </c>
      <c r="Q679" s="24">
        <f>IF(OR(J679="",J679=0),"",P679/J679)</f>
        <v/>
      </c>
      <c r="R679" s="25">
        <f>IF(OR(A679="",B679=""),"",B679-A679)</f>
        <v/>
      </c>
      <c r="S679" s="26">
        <f>IF(B679="","",YEAR(B679))</f>
        <v/>
      </c>
      <c r="T679" s="27">
        <f>IF(B679="","",IF(OR(F679="Electric",F679="Plug-in",F679="Hibrid"),1,0))</f>
        <v/>
      </c>
    </row>
    <row r="680">
      <c r="A680" s="18" t="n"/>
      <c r="B680" s="18" t="n"/>
      <c r="C680" s="19" t="n"/>
      <c r="D680" s="19" t="n"/>
      <c r="E680" s="20" t="n"/>
      <c r="F680" s="19" t="n"/>
      <c r="G680" s="21" t="n"/>
      <c r="H680" s="22" t="n"/>
      <c r="I680" s="22" t="n"/>
      <c r="J680" s="22" t="n"/>
      <c r="K680" s="19" t="n"/>
      <c r="L680" s="19" t="n"/>
      <c r="M680" s="19" t="n"/>
      <c r="N680" s="19" t="n"/>
      <c r="O680" s="23">
        <f>IF(J680="","",H680+I680)</f>
        <v/>
      </c>
      <c r="P680" s="23">
        <f>IF(J680="","",J680-O680)</f>
        <v/>
      </c>
      <c r="Q680" s="24">
        <f>IF(OR(J680="",J680=0),"",P680/J680)</f>
        <v/>
      </c>
      <c r="R680" s="25">
        <f>IF(OR(A680="",B680=""),"",B680-A680)</f>
        <v/>
      </c>
      <c r="S680" s="26">
        <f>IF(B680="","",YEAR(B680))</f>
        <v/>
      </c>
      <c r="T680" s="27">
        <f>IF(B680="","",IF(OR(F680="Electric",F680="Plug-in",F680="Hibrid"),1,0))</f>
        <v/>
      </c>
    </row>
    <row r="681">
      <c r="A681" s="18" t="n"/>
      <c r="B681" s="18" t="n"/>
      <c r="C681" s="19" t="n"/>
      <c r="D681" s="19" t="n"/>
      <c r="E681" s="20" t="n"/>
      <c r="F681" s="19" t="n"/>
      <c r="G681" s="21" t="n"/>
      <c r="H681" s="22" t="n"/>
      <c r="I681" s="22" t="n"/>
      <c r="J681" s="22" t="n"/>
      <c r="K681" s="19" t="n"/>
      <c r="L681" s="19" t="n"/>
      <c r="M681" s="19" t="n"/>
      <c r="N681" s="19" t="n"/>
      <c r="O681" s="23">
        <f>IF(J681="","",H681+I681)</f>
        <v/>
      </c>
      <c r="P681" s="23">
        <f>IF(J681="","",J681-O681)</f>
        <v/>
      </c>
      <c r="Q681" s="24">
        <f>IF(OR(J681="",J681=0),"",P681/J681)</f>
        <v/>
      </c>
      <c r="R681" s="25">
        <f>IF(OR(A681="",B681=""),"",B681-A681)</f>
        <v/>
      </c>
      <c r="S681" s="26">
        <f>IF(B681="","",YEAR(B681))</f>
        <v/>
      </c>
      <c r="T681" s="27">
        <f>IF(B681="","",IF(OR(F681="Electric",F681="Plug-in",F681="Hibrid"),1,0))</f>
        <v/>
      </c>
    </row>
    <row r="682">
      <c r="A682" s="18" t="n"/>
      <c r="B682" s="18" t="n"/>
      <c r="C682" s="19" t="n"/>
      <c r="D682" s="19" t="n"/>
      <c r="E682" s="20" t="n"/>
      <c r="F682" s="19" t="n"/>
      <c r="G682" s="21" t="n"/>
      <c r="H682" s="22" t="n"/>
      <c r="I682" s="22" t="n"/>
      <c r="J682" s="22" t="n"/>
      <c r="K682" s="19" t="n"/>
      <c r="L682" s="19" t="n"/>
      <c r="M682" s="19" t="n"/>
      <c r="N682" s="19" t="n"/>
      <c r="O682" s="23">
        <f>IF(J682="","",H682+I682)</f>
        <v/>
      </c>
      <c r="P682" s="23">
        <f>IF(J682="","",J682-O682)</f>
        <v/>
      </c>
      <c r="Q682" s="24">
        <f>IF(OR(J682="",J682=0),"",P682/J682)</f>
        <v/>
      </c>
      <c r="R682" s="25">
        <f>IF(OR(A682="",B682=""),"",B682-A682)</f>
        <v/>
      </c>
      <c r="S682" s="26">
        <f>IF(B682="","",YEAR(B682))</f>
        <v/>
      </c>
      <c r="T682" s="27">
        <f>IF(B682="","",IF(OR(F682="Electric",F682="Plug-in",F682="Hibrid"),1,0))</f>
        <v/>
      </c>
    </row>
    <row r="683">
      <c r="A683" s="18" t="n"/>
      <c r="B683" s="18" t="n"/>
      <c r="C683" s="19" t="n"/>
      <c r="D683" s="19" t="n"/>
      <c r="E683" s="20" t="n"/>
      <c r="F683" s="19" t="n"/>
      <c r="G683" s="21" t="n"/>
      <c r="H683" s="22" t="n"/>
      <c r="I683" s="22" t="n"/>
      <c r="J683" s="22" t="n"/>
      <c r="K683" s="19" t="n"/>
      <c r="L683" s="19" t="n"/>
      <c r="M683" s="19" t="n"/>
      <c r="N683" s="19" t="n"/>
      <c r="O683" s="23">
        <f>IF(J683="","",H683+I683)</f>
        <v/>
      </c>
      <c r="P683" s="23">
        <f>IF(J683="","",J683-O683)</f>
        <v/>
      </c>
      <c r="Q683" s="24">
        <f>IF(OR(J683="",J683=0),"",P683/J683)</f>
        <v/>
      </c>
      <c r="R683" s="25">
        <f>IF(OR(A683="",B683=""),"",B683-A683)</f>
        <v/>
      </c>
      <c r="S683" s="26">
        <f>IF(B683="","",YEAR(B683))</f>
        <v/>
      </c>
      <c r="T683" s="27">
        <f>IF(B683="","",IF(OR(F683="Electric",F683="Plug-in",F683="Hibrid"),1,0))</f>
        <v/>
      </c>
    </row>
    <row r="684">
      <c r="A684" s="18" t="n"/>
      <c r="B684" s="18" t="n"/>
      <c r="C684" s="19" t="n"/>
      <c r="D684" s="19" t="n"/>
      <c r="E684" s="20" t="n"/>
      <c r="F684" s="19" t="n"/>
      <c r="G684" s="21" t="n"/>
      <c r="H684" s="22" t="n"/>
      <c r="I684" s="22" t="n"/>
      <c r="J684" s="22" t="n"/>
      <c r="K684" s="19" t="n"/>
      <c r="L684" s="19" t="n"/>
      <c r="M684" s="19" t="n"/>
      <c r="N684" s="19" t="n"/>
      <c r="O684" s="23">
        <f>IF(J684="","",H684+I684)</f>
        <v/>
      </c>
      <c r="P684" s="23">
        <f>IF(J684="","",J684-O684)</f>
        <v/>
      </c>
      <c r="Q684" s="24">
        <f>IF(OR(J684="",J684=0),"",P684/J684)</f>
        <v/>
      </c>
      <c r="R684" s="25">
        <f>IF(OR(A684="",B684=""),"",B684-A684)</f>
        <v/>
      </c>
      <c r="S684" s="26">
        <f>IF(B684="","",YEAR(B684))</f>
        <v/>
      </c>
      <c r="T684" s="27">
        <f>IF(B684="","",IF(OR(F684="Electric",F684="Plug-in",F684="Hibrid"),1,0))</f>
        <v/>
      </c>
    </row>
    <row r="685">
      <c r="A685" s="18" t="n"/>
      <c r="B685" s="18" t="n"/>
      <c r="C685" s="19" t="n"/>
      <c r="D685" s="19" t="n"/>
      <c r="E685" s="20" t="n"/>
      <c r="F685" s="19" t="n"/>
      <c r="G685" s="21" t="n"/>
      <c r="H685" s="22" t="n"/>
      <c r="I685" s="22" t="n"/>
      <c r="J685" s="22" t="n"/>
      <c r="K685" s="19" t="n"/>
      <c r="L685" s="19" t="n"/>
      <c r="M685" s="19" t="n"/>
      <c r="N685" s="19" t="n"/>
      <c r="O685" s="23">
        <f>IF(J685="","",H685+I685)</f>
        <v/>
      </c>
      <c r="P685" s="23">
        <f>IF(J685="","",J685-O685)</f>
        <v/>
      </c>
      <c r="Q685" s="24">
        <f>IF(OR(J685="",J685=0),"",P685/J685)</f>
        <v/>
      </c>
      <c r="R685" s="25">
        <f>IF(OR(A685="",B685=""),"",B685-A685)</f>
        <v/>
      </c>
      <c r="S685" s="26">
        <f>IF(B685="","",YEAR(B685))</f>
        <v/>
      </c>
      <c r="T685" s="27">
        <f>IF(B685="","",IF(OR(F685="Electric",F685="Plug-in",F685="Hibrid"),1,0))</f>
        <v/>
      </c>
    </row>
    <row r="686">
      <c r="A686" s="18" t="n"/>
      <c r="B686" s="18" t="n"/>
      <c r="C686" s="19" t="n"/>
      <c r="D686" s="19" t="n"/>
      <c r="E686" s="20" t="n"/>
      <c r="F686" s="19" t="n"/>
      <c r="G686" s="21" t="n"/>
      <c r="H686" s="22" t="n"/>
      <c r="I686" s="22" t="n"/>
      <c r="J686" s="22" t="n"/>
      <c r="K686" s="19" t="n"/>
      <c r="L686" s="19" t="n"/>
      <c r="M686" s="19" t="n"/>
      <c r="N686" s="19" t="n"/>
      <c r="O686" s="23">
        <f>IF(J686="","",H686+I686)</f>
        <v/>
      </c>
      <c r="P686" s="23">
        <f>IF(J686="","",J686-O686)</f>
        <v/>
      </c>
      <c r="Q686" s="24">
        <f>IF(OR(J686="",J686=0),"",P686/J686)</f>
        <v/>
      </c>
      <c r="R686" s="25">
        <f>IF(OR(A686="",B686=""),"",B686-A686)</f>
        <v/>
      </c>
      <c r="S686" s="26">
        <f>IF(B686="","",YEAR(B686))</f>
        <v/>
      </c>
      <c r="T686" s="27">
        <f>IF(B686="","",IF(OR(F686="Electric",F686="Plug-in",F686="Hibrid"),1,0))</f>
        <v/>
      </c>
    </row>
    <row r="687">
      <c r="A687" s="18" t="n"/>
      <c r="B687" s="18" t="n"/>
      <c r="C687" s="19" t="n"/>
      <c r="D687" s="19" t="n"/>
      <c r="E687" s="20" t="n"/>
      <c r="F687" s="19" t="n"/>
      <c r="G687" s="21" t="n"/>
      <c r="H687" s="22" t="n"/>
      <c r="I687" s="22" t="n"/>
      <c r="J687" s="22" t="n"/>
      <c r="K687" s="19" t="n"/>
      <c r="L687" s="19" t="n"/>
      <c r="M687" s="19" t="n"/>
      <c r="N687" s="19" t="n"/>
      <c r="O687" s="23">
        <f>IF(J687="","",H687+I687)</f>
        <v/>
      </c>
      <c r="P687" s="23">
        <f>IF(J687="","",J687-O687)</f>
        <v/>
      </c>
      <c r="Q687" s="24">
        <f>IF(OR(J687="",J687=0),"",P687/J687)</f>
        <v/>
      </c>
      <c r="R687" s="25">
        <f>IF(OR(A687="",B687=""),"",B687-A687)</f>
        <v/>
      </c>
      <c r="S687" s="26">
        <f>IF(B687="","",YEAR(B687))</f>
        <v/>
      </c>
      <c r="T687" s="27">
        <f>IF(B687="","",IF(OR(F687="Electric",F687="Plug-in",F687="Hibrid"),1,0))</f>
        <v/>
      </c>
    </row>
    <row r="688">
      <c r="A688" s="18" t="n"/>
      <c r="B688" s="18" t="n"/>
      <c r="C688" s="19" t="n"/>
      <c r="D688" s="19" t="n"/>
      <c r="E688" s="20" t="n"/>
      <c r="F688" s="19" t="n"/>
      <c r="G688" s="21" t="n"/>
      <c r="H688" s="22" t="n"/>
      <c r="I688" s="22" t="n"/>
      <c r="J688" s="22" t="n"/>
      <c r="K688" s="19" t="n"/>
      <c r="L688" s="19" t="n"/>
      <c r="M688" s="19" t="n"/>
      <c r="N688" s="19" t="n"/>
      <c r="O688" s="23">
        <f>IF(J688="","",H688+I688)</f>
        <v/>
      </c>
      <c r="P688" s="23">
        <f>IF(J688="","",J688-O688)</f>
        <v/>
      </c>
      <c r="Q688" s="24">
        <f>IF(OR(J688="",J688=0),"",P688/J688)</f>
        <v/>
      </c>
      <c r="R688" s="25">
        <f>IF(OR(A688="",B688=""),"",B688-A688)</f>
        <v/>
      </c>
      <c r="S688" s="26">
        <f>IF(B688="","",YEAR(B688))</f>
        <v/>
      </c>
      <c r="T688" s="27">
        <f>IF(B688="","",IF(OR(F688="Electric",F688="Plug-in",F688="Hibrid"),1,0))</f>
        <v/>
      </c>
    </row>
    <row r="689">
      <c r="A689" s="18" t="n"/>
      <c r="B689" s="18" t="n"/>
      <c r="C689" s="19" t="n"/>
      <c r="D689" s="19" t="n"/>
      <c r="E689" s="20" t="n"/>
      <c r="F689" s="19" t="n"/>
      <c r="G689" s="21" t="n"/>
      <c r="H689" s="22" t="n"/>
      <c r="I689" s="22" t="n"/>
      <c r="J689" s="22" t="n"/>
      <c r="K689" s="19" t="n"/>
      <c r="L689" s="19" t="n"/>
      <c r="M689" s="19" t="n"/>
      <c r="N689" s="19" t="n"/>
      <c r="O689" s="23">
        <f>IF(J689="","",H689+I689)</f>
        <v/>
      </c>
      <c r="P689" s="23">
        <f>IF(J689="","",J689-O689)</f>
        <v/>
      </c>
      <c r="Q689" s="24">
        <f>IF(OR(J689="",J689=0),"",P689/J689)</f>
        <v/>
      </c>
      <c r="R689" s="25">
        <f>IF(OR(A689="",B689=""),"",B689-A689)</f>
        <v/>
      </c>
      <c r="S689" s="26">
        <f>IF(B689="","",YEAR(B689))</f>
        <v/>
      </c>
      <c r="T689" s="27">
        <f>IF(B689="","",IF(OR(F689="Electric",F689="Plug-in",F689="Hibrid"),1,0))</f>
        <v/>
      </c>
    </row>
    <row r="690">
      <c r="A690" s="18" t="n"/>
      <c r="B690" s="18" t="n"/>
      <c r="C690" s="19" t="n"/>
      <c r="D690" s="19" t="n"/>
      <c r="E690" s="20" t="n"/>
      <c r="F690" s="19" t="n"/>
      <c r="G690" s="21" t="n"/>
      <c r="H690" s="22" t="n"/>
      <c r="I690" s="22" t="n"/>
      <c r="J690" s="22" t="n"/>
      <c r="K690" s="19" t="n"/>
      <c r="L690" s="19" t="n"/>
      <c r="M690" s="19" t="n"/>
      <c r="N690" s="19" t="n"/>
      <c r="O690" s="23">
        <f>IF(J690="","",H690+I690)</f>
        <v/>
      </c>
      <c r="P690" s="23">
        <f>IF(J690="","",J690-O690)</f>
        <v/>
      </c>
      <c r="Q690" s="24">
        <f>IF(OR(J690="",J690=0),"",P690/J690)</f>
        <v/>
      </c>
      <c r="R690" s="25">
        <f>IF(OR(A690="",B690=""),"",B690-A690)</f>
        <v/>
      </c>
      <c r="S690" s="26">
        <f>IF(B690="","",YEAR(B690))</f>
        <v/>
      </c>
      <c r="T690" s="27">
        <f>IF(B690="","",IF(OR(F690="Electric",F690="Plug-in",F690="Hibrid"),1,0))</f>
        <v/>
      </c>
    </row>
    <row r="691">
      <c r="A691" s="18" t="n"/>
      <c r="B691" s="18" t="n"/>
      <c r="C691" s="19" t="n"/>
      <c r="D691" s="19" t="n"/>
      <c r="E691" s="20" t="n"/>
      <c r="F691" s="19" t="n"/>
      <c r="G691" s="21" t="n"/>
      <c r="H691" s="22" t="n"/>
      <c r="I691" s="22" t="n"/>
      <c r="J691" s="22" t="n"/>
      <c r="K691" s="19" t="n"/>
      <c r="L691" s="19" t="n"/>
      <c r="M691" s="19" t="n"/>
      <c r="N691" s="19" t="n"/>
      <c r="O691" s="23">
        <f>IF(J691="","",H691+I691)</f>
        <v/>
      </c>
      <c r="P691" s="23">
        <f>IF(J691="","",J691-O691)</f>
        <v/>
      </c>
      <c r="Q691" s="24">
        <f>IF(OR(J691="",J691=0),"",P691/J691)</f>
        <v/>
      </c>
      <c r="R691" s="25">
        <f>IF(OR(A691="",B691=""),"",B691-A691)</f>
        <v/>
      </c>
      <c r="S691" s="26">
        <f>IF(B691="","",YEAR(B691))</f>
        <v/>
      </c>
      <c r="T691" s="27">
        <f>IF(B691="","",IF(OR(F691="Electric",F691="Plug-in",F691="Hibrid"),1,0))</f>
        <v/>
      </c>
    </row>
    <row r="692">
      <c r="A692" s="18" t="n"/>
      <c r="B692" s="18" t="n"/>
      <c r="C692" s="19" t="n"/>
      <c r="D692" s="19" t="n"/>
      <c r="E692" s="20" t="n"/>
      <c r="F692" s="19" t="n"/>
      <c r="G692" s="21" t="n"/>
      <c r="H692" s="22" t="n"/>
      <c r="I692" s="22" t="n"/>
      <c r="J692" s="22" t="n"/>
      <c r="K692" s="19" t="n"/>
      <c r="L692" s="19" t="n"/>
      <c r="M692" s="19" t="n"/>
      <c r="N692" s="19" t="n"/>
      <c r="O692" s="23">
        <f>IF(J692="","",H692+I692)</f>
        <v/>
      </c>
      <c r="P692" s="23">
        <f>IF(J692="","",J692-O692)</f>
        <v/>
      </c>
      <c r="Q692" s="24">
        <f>IF(OR(J692="",J692=0),"",P692/J692)</f>
        <v/>
      </c>
      <c r="R692" s="25">
        <f>IF(OR(A692="",B692=""),"",B692-A692)</f>
        <v/>
      </c>
      <c r="S692" s="26">
        <f>IF(B692="","",YEAR(B692))</f>
        <v/>
      </c>
      <c r="T692" s="27">
        <f>IF(B692="","",IF(OR(F692="Electric",F692="Plug-in",F692="Hibrid"),1,0))</f>
        <v/>
      </c>
    </row>
    <row r="693">
      <c r="A693" s="18" t="n"/>
      <c r="B693" s="18" t="n"/>
      <c r="C693" s="19" t="n"/>
      <c r="D693" s="19" t="n"/>
      <c r="E693" s="20" t="n"/>
      <c r="F693" s="19" t="n"/>
      <c r="G693" s="21" t="n"/>
      <c r="H693" s="22" t="n"/>
      <c r="I693" s="22" t="n"/>
      <c r="J693" s="22" t="n"/>
      <c r="K693" s="19" t="n"/>
      <c r="L693" s="19" t="n"/>
      <c r="M693" s="19" t="n"/>
      <c r="N693" s="19" t="n"/>
      <c r="O693" s="23">
        <f>IF(J693="","",H693+I693)</f>
        <v/>
      </c>
      <c r="P693" s="23">
        <f>IF(J693="","",J693-O693)</f>
        <v/>
      </c>
      <c r="Q693" s="24">
        <f>IF(OR(J693="",J693=0),"",P693/J693)</f>
        <v/>
      </c>
      <c r="R693" s="25">
        <f>IF(OR(A693="",B693=""),"",B693-A693)</f>
        <v/>
      </c>
      <c r="S693" s="26">
        <f>IF(B693="","",YEAR(B693))</f>
        <v/>
      </c>
      <c r="T693" s="27">
        <f>IF(B693="","",IF(OR(F693="Electric",F693="Plug-in",F693="Hibrid"),1,0))</f>
        <v/>
      </c>
    </row>
    <row r="694">
      <c r="A694" s="18" t="n"/>
      <c r="B694" s="18" t="n"/>
      <c r="C694" s="19" t="n"/>
      <c r="D694" s="19" t="n"/>
      <c r="E694" s="20" t="n"/>
      <c r="F694" s="19" t="n"/>
      <c r="G694" s="21" t="n"/>
      <c r="H694" s="22" t="n"/>
      <c r="I694" s="22" t="n"/>
      <c r="J694" s="22" t="n"/>
      <c r="K694" s="19" t="n"/>
      <c r="L694" s="19" t="n"/>
      <c r="M694" s="19" t="n"/>
      <c r="N694" s="19" t="n"/>
      <c r="O694" s="23">
        <f>IF(J694="","",H694+I694)</f>
        <v/>
      </c>
      <c r="P694" s="23">
        <f>IF(J694="","",J694-O694)</f>
        <v/>
      </c>
      <c r="Q694" s="24">
        <f>IF(OR(J694="",J694=0),"",P694/J694)</f>
        <v/>
      </c>
      <c r="R694" s="25">
        <f>IF(OR(A694="",B694=""),"",B694-A694)</f>
        <v/>
      </c>
      <c r="S694" s="26">
        <f>IF(B694="","",YEAR(B694))</f>
        <v/>
      </c>
      <c r="T694" s="27">
        <f>IF(B694="","",IF(OR(F694="Electric",F694="Plug-in",F694="Hibrid"),1,0))</f>
        <v/>
      </c>
    </row>
    <row r="695">
      <c r="A695" s="18" t="n"/>
      <c r="B695" s="18" t="n"/>
      <c r="C695" s="19" t="n"/>
      <c r="D695" s="19" t="n"/>
      <c r="E695" s="20" t="n"/>
      <c r="F695" s="19" t="n"/>
      <c r="G695" s="21" t="n"/>
      <c r="H695" s="22" t="n"/>
      <c r="I695" s="22" t="n"/>
      <c r="J695" s="22" t="n"/>
      <c r="K695" s="19" t="n"/>
      <c r="L695" s="19" t="n"/>
      <c r="M695" s="19" t="n"/>
      <c r="N695" s="19" t="n"/>
      <c r="O695" s="23">
        <f>IF(J695="","",H695+I695)</f>
        <v/>
      </c>
      <c r="P695" s="23">
        <f>IF(J695="","",J695-O695)</f>
        <v/>
      </c>
      <c r="Q695" s="24">
        <f>IF(OR(J695="",J695=0),"",P695/J695)</f>
        <v/>
      </c>
      <c r="R695" s="25">
        <f>IF(OR(A695="",B695=""),"",B695-A695)</f>
        <v/>
      </c>
      <c r="S695" s="26">
        <f>IF(B695="","",YEAR(B695))</f>
        <v/>
      </c>
      <c r="T695" s="27">
        <f>IF(B695="","",IF(OR(F695="Electric",F695="Plug-in",F695="Hibrid"),1,0))</f>
        <v/>
      </c>
    </row>
    <row r="696">
      <c r="A696" s="18" t="n"/>
      <c r="B696" s="18" t="n"/>
      <c r="C696" s="19" t="n"/>
      <c r="D696" s="19" t="n"/>
      <c r="E696" s="20" t="n"/>
      <c r="F696" s="19" t="n"/>
      <c r="G696" s="21" t="n"/>
      <c r="H696" s="22" t="n"/>
      <c r="I696" s="22" t="n"/>
      <c r="J696" s="22" t="n"/>
      <c r="K696" s="19" t="n"/>
      <c r="L696" s="19" t="n"/>
      <c r="M696" s="19" t="n"/>
      <c r="N696" s="19" t="n"/>
      <c r="O696" s="23">
        <f>IF(J696="","",H696+I696)</f>
        <v/>
      </c>
      <c r="P696" s="23">
        <f>IF(J696="","",J696-O696)</f>
        <v/>
      </c>
      <c r="Q696" s="24">
        <f>IF(OR(J696="",J696=0),"",P696/J696)</f>
        <v/>
      </c>
      <c r="R696" s="25">
        <f>IF(OR(A696="",B696=""),"",B696-A696)</f>
        <v/>
      </c>
      <c r="S696" s="26">
        <f>IF(B696="","",YEAR(B696))</f>
        <v/>
      </c>
      <c r="T696" s="27">
        <f>IF(B696="","",IF(OR(F696="Electric",F696="Plug-in",F696="Hibrid"),1,0))</f>
        <v/>
      </c>
    </row>
    <row r="697">
      <c r="A697" s="18" t="n"/>
      <c r="B697" s="18" t="n"/>
      <c r="C697" s="19" t="n"/>
      <c r="D697" s="19" t="n"/>
      <c r="E697" s="20" t="n"/>
      <c r="F697" s="19" t="n"/>
      <c r="G697" s="21" t="n"/>
      <c r="H697" s="22" t="n"/>
      <c r="I697" s="22" t="n"/>
      <c r="J697" s="22" t="n"/>
      <c r="K697" s="19" t="n"/>
      <c r="L697" s="19" t="n"/>
      <c r="M697" s="19" t="n"/>
      <c r="N697" s="19" t="n"/>
      <c r="O697" s="23">
        <f>IF(J697="","",H697+I697)</f>
        <v/>
      </c>
      <c r="P697" s="23">
        <f>IF(J697="","",J697-O697)</f>
        <v/>
      </c>
      <c r="Q697" s="24">
        <f>IF(OR(J697="",J697=0),"",P697/J697)</f>
        <v/>
      </c>
      <c r="R697" s="25">
        <f>IF(OR(A697="",B697=""),"",B697-A697)</f>
        <v/>
      </c>
      <c r="S697" s="26">
        <f>IF(B697="","",YEAR(B697))</f>
        <v/>
      </c>
      <c r="T697" s="27">
        <f>IF(B697="","",IF(OR(F697="Electric",F697="Plug-in",F697="Hibrid"),1,0))</f>
        <v/>
      </c>
    </row>
    <row r="698">
      <c r="A698" s="18" t="n"/>
      <c r="B698" s="18" t="n"/>
      <c r="C698" s="19" t="n"/>
      <c r="D698" s="19" t="n"/>
      <c r="E698" s="20" t="n"/>
      <c r="F698" s="19" t="n"/>
      <c r="G698" s="21" t="n"/>
      <c r="H698" s="22" t="n"/>
      <c r="I698" s="22" t="n"/>
      <c r="J698" s="22" t="n"/>
      <c r="K698" s="19" t="n"/>
      <c r="L698" s="19" t="n"/>
      <c r="M698" s="19" t="n"/>
      <c r="N698" s="19" t="n"/>
      <c r="O698" s="23">
        <f>IF(J698="","",H698+I698)</f>
        <v/>
      </c>
      <c r="P698" s="23">
        <f>IF(J698="","",J698-O698)</f>
        <v/>
      </c>
      <c r="Q698" s="24">
        <f>IF(OR(J698="",J698=0),"",P698/J698)</f>
        <v/>
      </c>
      <c r="R698" s="25">
        <f>IF(OR(A698="",B698=""),"",B698-A698)</f>
        <v/>
      </c>
      <c r="S698" s="26">
        <f>IF(B698="","",YEAR(B698))</f>
        <v/>
      </c>
      <c r="T698" s="27">
        <f>IF(B698="","",IF(OR(F698="Electric",F698="Plug-in",F698="Hibrid"),1,0))</f>
        <v/>
      </c>
    </row>
    <row r="699">
      <c r="A699" s="18" t="n"/>
      <c r="B699" s="18" t="n"/>
      <c r="C699" s="19" t="n"/>
      <c r="D699" s="19" t="n"/>
      <c r="E699" s="20" t="n"/>
      <c r="F699" s="19" t="n"/>
      <c r="G699" s="21" t="n"/>
      <c r="H699" s="22" t="n"/>
      <c r="I699" s="22" t="n"/>
      <c r="J699" s="22" t="n"/>
      <c r="K699" s="19" t="n"/>
      <c r="L699" s="19" t="n"/>
      <c r="M699" s="19" t="n"/>
      <c r="N699" s="19" t="n"/>
      <c r="O699" s="23">
        <f>IF(J699="","",H699+I699)</f>
        <v/>
      </c>
      <c r="P699" s="23">
        <f>IF(J699="","",J699-O699)</f>
        <v/>
      </c>
      <c r="Q699" s="24">
        <f>IF(OR(J699="",J699=0),"",P699/J699)</f>
        <v/>
      </c>
      <c r="R699" s="25">
        <f>IF(OR(A699="",B699=""),"",B699-A699)</f>
        <v/>
      </c>
      <c r="S699" s="26">
        <f>IF(B699="","",YEAR(B699))</f>
        <v/>
      </c>
      <c r="T699" s="27">
        <f>IF(B699="","",IF(OR(F699="Electric",F699="Plug-in",F699="Hibrid"),1,0))</f>
        <v/>
      </c>
    </row>
    <row r="700">
      <c r="A700" s="18" t="n"/>
      <c r="B700" s="18" t="n"/>
      <c r="C700" s="19" t="n"/>
      <c r="D700" s="19" t="n"/>
      <c r="E700" s="20" t="n"/>
      <c r="F700" s="19" t="n"/>
      <c r="G700" s="21" t="n"/>
      <c r="H700" s="22" t="n"/>
      <c r="I700" s="22" t="n"/>
      <c r="J700" s="22" t="n"/>
      <c r="K700" s="19" t="n"/>
      <c r="L700" s="19" t="n"/>
      <c r="M700" s="19" t="n"/>
      <c r="N700" s="19" t="n"/>
      <c r="O700" s="23">
        <f>IF(J700="","",H700+I700)</f>
        <v/>
      </c>
      <c r="P700" s="23">
        <f>IF(J700="","",J700-O700)</f>
        <v/>
      </c>
      <c r="Q700" s="24">
        <f>IF(OR(J700="",J700=0),"",P700/J700)</f>
        <v/>
      </c>
      <c r="R700" s="25">
        <f>IF(OR(A700="",B700=""),"",B700-A700)</f>
        <v/>
      </c>
      <c r="S700" s="26">
        <f>IF(B700="","",YEAR(B700))</f>
        <v/>
      </c>
      <c r="T700" s="27">
        <f>IF(B700="","",IF(OR(F700="Electric",F700="Plug-in",F700="Hibrid"),1,0))</f>
        <v/>
      </c>
    </row>
    <row r="701">
      <c r="A701" s="18" t="n"/>
      <c r="B701" s="18" t="n"/>
      <c r="C701" s="19" t="n"/>
      <c r="D701" s="19" t="n"/>
      <c r="E701" s="20" t="n"/>
      <c r="F701" s="19" t="n"/>
      <c r="G701" s="21" t="n"/>
      <c r="H701" s="22" t="n"/>
      <c r="I701" s="22" t="n"/>
      <c r="J701" s="22" t="n"/>
      <c r="K701" s="19" t="n"/>
      <c r="L701" s="19" t="n"/>
      <c r="M701" s="19" t="n"/>
      <c r="N701" s="19" t="n"/>
      <c r="O701" s="23">
        <f>IF(J701="","",H701+I701)</f>
        <v/>
      </c>
      <c r="P701" s="23">
        <f>IF(J701="","",J701-O701)</f>
        <v/>
      </c>
      <c r="Q701" s="24">
        <f>IF(OR(J701="",J701=0),"",P701/J701)</f>
        <v/>
      </c>
      <c r="R701" s="25">
        <f>IF(OR(A701="",B701=""),"",B701-A701)</f>
        <v/>
      </c>
      <c r="S701" s="26">
        <f>IF(B701="","",YEAR(B701))</f>
        <v/>
      </c>
      <c r="T701" s="27">
        <f>IF(B701="","",IF(OR(F701="Electric",F701="Plug-in",F701="Hibrid"),1,0))</f>
        <v/>
      </c>
    </row>
    <row r="702">
      <c r="A702" s="18" t="n"/>
      <c r="B702" s="18" t="n"/>
      <c r="C702" s="19" t="n"/>
      <c r="D702" s="19" t="n"/>
      <c r="E702" s="20" t="n"/>
      <c r="F702" s="19" t="n"/>
      <c r="G702" s="21" t="n"/>
      <c r="H702" s="22" t="n"/>
      <c r="I702" s="22" t="n"/>
      <c r="J702" s="22" t="n"/>
      <c r="K702" s="19" t="n"/>
      <c r="L702" s="19" t="n"/>
      <c r="M702" s="19" t="n"/>
      <c r="N702" s="19" t="n"/>
      <c r="O702" s="23">
        <f>IF(J702="","",H702+I702)</f>
        <v/>
      </c>
      <c r="P702" s="23">
        <f>IF(J702="","",J702-O702)</f>
        <v/>
      </c>
      <c r="Q702" s="24">
        <f>IF(OR(J702="",J702=0),"",P702/J702)</f>
        <v/>
      </c>
      <c r="R702" s="25">
        <f>IF(OR(A702="",B702=""),"",B702-A702)</f>
        <v/>
      </c>
      <c r="S702" s="26">
        <f>IF(B702="","",YEAR(B702))</f>
        <v/>
      </c>
      <c r="T702" s="27">
        <f>IF(B702="","",IF(OR(F702="Electric",F702="Plug-in",F702="Hibrid"),1,0))</f>
        <v/>
      </c>
    </row>
    <row r="703">
      <c r="A703" s="18" t="n"/>
      <c r="B703" s="18" t="n"/>
      <c r="C703" s="19" t="n"/>
      <c r="D703" s="19" t="n"/>
      <c r="E703" s="20" t="n"/>
      <c r="F703" s="19" t="n"/>
      <c r="G703" s="21" t="n"/>
      <c r="H703" s="22" t="n"/>
      <c r="I703" s="22" t="n"/>
      <c r="J703" s="22" t="n"/>
      <c r="K703" s="19" t="n"/>
      <c r="L703" s="19" t="n"/>
      <c r="M703" s="19" t="n"/>
      <c r="N703" s="19" t="n"/>
      <c r="O703" s="23">
        <f>IF(J703="","",H703+I703)</f>
        <v/>
      </c>
      <c r="P703" s="23">
        <f>IF(J703="","",J703-O703)</f>
        <v/>
      </c>
      <c r="Q703" s="24">
        <f>IF(OR(J703="",J703=0),"",P703/J703)</f>
        <v/>
      </c>
      <c r="R703" s="25">
        <f>IF(OR(A703="",B703=""),"",B703-A703)</f>
        <v/>
      </c>
      <c r="S703" s="26">
        <f>IF(B703="","",YEAR(B703))</f>
        <v/>
      </c>
      <c r="T703" s="27">
        <f>IF(B703="","",IF(OR(F703="Electric",F703="Plug-in",F703="Hibrid"),1,0))</f>
        <v/>
      </c>
    </row>
    <row r="704">
      <c r="A704" s="18" t="n"/>
      <c r="B704" s="18" t="n"/>
      <c r="C704" s="19" t="n"/>
      <c r="D704" s="19" t="n"/>
      <c r="E704" s="20" t="n"/>
      <c r="F704" s="19" t="n"/>
      <c r="G704" s="21" t="n"/>
      <c r="H704" s="22" t="n"/>
      <c r="I704" s="22" t="n"/>
      <c r="J704" s="22" t="n"/>
      <c r="K704" s="19" t="n"/>
      <c r="L704" s="19" t="n"/>
      <c r="M704" s="19" t="n"/>
      <c r="N704" s="19" t="n"/>
      <c r="O704" s="23">
        <f>IF(J704="","",H704+I704)</f>
        <v/>
      </c>
      <c r="P704" s="23">
        <f>IF(J704="","",J704-O704)</f>
        <v/>
      </c>
      <c r="Q704" s="24">
        <f>IF(OR(J704="",J704=0),"",P704/J704)</f>
        <v/>
      </c>
      <c r="R704" s="25">
        <f>IF(OR(A704="",B704=""),"",B704-A704)</f>
        <v/>
      </c>
      <c r="S704" s="26">
        <f>IF(B704="","",YEAR(B704))</f>
        <v/>
      </c>
      <c r="T704" s="27">
        <f>IF(B704="","",IF(OR(F704="Electric",F704="Plug-in",F704="Hibrid"),1,0))</f>
        <v/>
      </c>
    </row>
    <row r="705">
      <c r="A705" s="18" t="n"/>
      <c r="B705" s="18" t="n"/>
      <c r="C705" s="19" t="n"/>
      <c r="D705" s="19" t="n"/>
      <c r="E705" s="20" t="n"/>
      <c r="F705" s="19" t="n"/>
      <c r="G705" s="21" t="n"/>
      <c r="H705" s="22" t="n"/>
      <c r="I705" s="22" t="n"/>
      <c r="J705" s="22" t="n"/>
      <c r="K705" s="19" t="n"/>
      <c r="L705" s="19" t="n"/>
      <c r="M705" s="19" t="n"/>
      <c r="N705" s="19" t="n"/>
      <c r="O705" s="23">
        <f>IF(J705="","",H705+I705)</f>
        <v/>
      </c>
      <c r="P705" s="23">
        <f>IF(J705="","",J705-O705)</f>
        <v/>
      </c>
      <c r="Q705" s="24">
        <f>IF(OR(J705="",J705=0),"",P705/J705)</f>
        <v/>
      </c>
      <c r="R705" s="25">
        <f>IF(OR(A705="",B705=""),"",B705-A705)</f>
        <v/>
      </c>
      <c r="S705" s="26">
        <f>IF(B705="","",YEAR(B705))</f>
        <v/>
      </c>
      <c r="T705" s="27">
        <f>IF(B705="","",IF(OR(F705="Electric",F705="Plug-in",F705="Hibrid"),1,0))</f>
        <v/>
      </c>
    </row>
    <row r="706">
      <c r="A706" s="18" t="n"/>
      <c r="B706" s="18" t="n"/>
      <c r="C706" s="19" t="n"/>
      <c r="D706" s="19" t="n"/>
      <c r="E706" s="20" t="n"/>
      <c r="F706" s="19" t="n"/>
      <c r="G706" s="21" t="n"/>
      <c r="H706" s="22" t="n"/>
      <c r="I706" s="22" t="n"/>
      <c r="J706" s="22" t="n"/>
      <c r="K706" s="19" t="n"/>
      <c r="L706" s="19" t="n"/>
      <c r="M706" s="19" t="n"/>
      <c r="N706" s="19" t="n"/>
      <c r="O706" s="23">
        <f>IF(J706="","",H706+I706)</f>
        <v/>
      </c>
      <c r="P706" s="23">
        <f>IF(J706="","",J706-O706)</f>
        <v/>
      </c>
      <c r="Q706" s="24">
        <f>IF(OR(J706="",J706=0),"",P706/J706)</f>
        <v/>
      </c>
      <c r="R706" s="25">
        <f>IF(OR(A706="",B706=""),"",B706-A706)</f>
        <v/>
      </c>
      <c r="S706" s="26">
        <f>IF(B706="","",YEAR(B706))</f>
        <v/>
      </c>
      <c r="T706" s="27">
        <f>IF(B706="","",IF(OR(F706="Electric",F706="Plug-in",F706="Hibrid"),1,0))</f>
        <v/>
      </c>
    </row>
    <row r="707">
      <c r="A707" s="18" t="n"/>
      <c r="B707" s="18" t="n"/>
      <c r="C707" s="19" t="n"/>
      <c r="D707" s="19" t="n"/>
      <c r="E707" s="20" t="n"/>
      <c r="F707" s="19" t="n"/>
      <c r="G707" s="21" t="n"/>
      <c r="H707" s="22" t="n"/>
      <c r="I707" s="22" t="n"/>
      <c r="J707" s="22" t="n"/>
      <c r="K707" s="19" t="n"/>
      <c r="L707" s="19" t="n"/>
      <c r="M707" s="19" t="n"/>
      <c r="N707" s="19" t="n"/>
      <c r="O707" s="23">
        <f>IF(J707="","",H707+I707)</f>
        <v/>
      </c>
      <c r="P707" s="23">
        <f>IF(J707="","",J707-O707)</f>
        <v/>
      </c>
      <c r="Q707" s="24">
        <f>IF(OR(J707="",J707=0),"",P707/J707)</f>
        <v/>
      </c>
      <c r="R707" s="25">
        <f>IF(OR(A707="",B707=""),"",B707-A707)</f>
        <v/>
      </c>
      <c r="S707" s="26">
        <f>IF(B707="","",YEAR(B707))</f>
        <v/>
      </c>
      <c r="T707" s="27">
        <f>IF(B707="","",IF(OR(F707="Electric",F707="Plug-in",F707="Hibrid"),1,0))</f>
        <v/>
      </c>
    </row>
    <row r="708">
      <c r="A708" s="18" t="n"/>
      <c r="B708" s="18" t="n"/>
      <c r="C708" s="19" t="n"/>
      <c r="D708" s="19" t="n"/>
      <c r="E708" s="20" t="n"/>
      <c r="F708" s="19" t="n"/>
      <c r="G708" s="21" t="n"/>
      <c r="H708" s="22" t="n"/>
      <c r="I708" s="22" t="n"/>
      <c r="J708" s="22" t="n"/>
      <c r="K708" s="19" t="n"/>
      <c r="L708" s="19" t="n"/>
      <c r="M708" s="19" t="n"/>
      <c r="N708" s="19" t="n"/>
      <c r="O708" s="23">
        <f>IF(J708="","",H708+I708)</f>
        <v/>
      </c>
      <c r="P708" s="23">
        <f>IF(J708="","",J708-O708)</f>
        <v/>
      </c>
      <c r="Q708" s="24">
        <f>IF(OR(J708="",J708=0),"",P708/J708)</f>
        <v/>
      </c>
      <c r="R708" s="25">
        <f>IF(OR(A708="",B708=""),"",B708-A708)</f>
        <v/>
      </c>
      <c r="S708" s="26">
        <f>IF(B708="","",YEAR(B708))</f>
        <v/>
      </c>
      <c r="T708" s="27">
        <f>IF(B708="","",IF(OR(F708="Electric",F708="Plug-in",F708="Hibrid"),1,0))</f>
        <v/>
      </c>
    </row>
    <row r="709">
      <c r="A709" s="18" t="n"/>
      <c r="B709" s="18" t="n"/>
      <c r="C709" s="19" t="n"/>
      <c r="D709" s="19" t="n"/>
      <c r="E709" s="20" t="n"/>
      <c r="F709" s="19" t="n"/>
      <c r="G709" s="21" t="n"/>
      <c r="H709" s="22" t="n"/>
      <c r="I709" s="22" t="n"/>
      <c r="J709" s="22" t="n"/>
      <c r="K709" s="19" t="n"/>
      <c r="L709" s="19" t="n"/>
      <c r="M709" s="19" t="n"/>
      <c r="N709" s="19" t="n"/>
      <c r="O709" s="23">
        <f>IF(J709="","",H709+I709)</f>
        <v/>
      </c>
      <c r="P709" s="23">
        <f>IF(J709="","",J709-O709)</f>
        <v/>
      </c>
      <c r="Q709" s="24">
        <f>IF(OR(J709="",J709=0),"",P709/J709)</f>
        <v/>
      </c>
      <c r="R709" s="25">
        <f>IF(OR(A709="",B709=""),"",B709-A709)</f>
        <v/>
      </c>
      <c r="S709" s="26">
        <f>IF(B709="","",YEAR(B709))</f>
        <v/>
      </c>
      <c r="T709" s="27">
        <f>IF(B709="","",IF(OR(F709="Electric",F709="Plug-in",F709="Hibrid"),1,0))</f>
        <v/>
      </c>
    </row>
    <row r="710">
      <c r="A710" s="18" t="n"/>
      <c r="B710" s="18" t="n"/>
      <c r="C710" s="19" t="n"/>
      <c r="D710" s="19" t="n"/>
      <c r="E710" s="20" t="n"/>
      <c r="F710" s="19" t="n"/>
      <c r="G710" s="21" t="n"/>
      <c r="H710" s="22" t="n"/>
      <c r="I710" s="22" t="n"/>
      <c r="J710" s="22" t="n"/>
      <c r="K710" s="19" t="n"/>
      <c r="L710" s="19" t="n"/>
      <c r="M710" s="19" t="n"/>
      <c r="N710" s="19" t="n"/>
      <c r="O710" s="23">
        <f>IF(J710="","",H710+I710)</f>
        <v/>
      </c>
      <c r="P710" s="23">
        <f>IF(J710="","",J710-O710)</f>
        <v/>
      </c>
      <c r="Q710" s="24">
        <f>IF(OR(J710="",J710=0),"",P710/J710)</f>
        <v/>
      </c>
      <c r="R710" s="25">
        <f>IF(OR(A710="",B710=""),"",B710-A710)</f>
        <v/>
      </c>
      <c r="S710" s="26">
        <f>IF(B710="","",YEAR(B710))</f>
        <v/>
      </c>
      <c r="T710" s="27">
        <f>IF(B710="","",IF(OR(F710="Electric",F710="Plug-in",F710="Hibrid"),1,0))</f>
        <v/>
      </c>
    </row>
    <row r="711">
      <c r="A711" s="18" t="n"/>
      <c r="B711" s="18" t="n"/>
      <c r="C711" s="19" t="n"/>
      <c r="D711" s="19" t="n"/>
      <c r="E711" s="20" t="n"/>
      <c r="F711" s="19" t="n"/>
      <c r="G711" s="21" t="n"/>
      <c r="H711" s="22" t="n"/>
      <c r="I711" s="22" t="n"/>
      <c r="J711" s="22" t="n"/>
      <c r="K711" s="19" t="n"/>
      <c r="L711" s="19" t="n"/>
      <c r="M711" s="19" t="n"/>
      <c r="N711" s="19" t="n"/>
      <c r="O711" s="23">
        <f>IF(J711="","",H711+I711)</f>
        <v/>
      </c>
      <c r="P711" s="23">
        <f>IF(J711="","",J711-O711)</f>
        <v/>
      </c>
      <c r="Q711" s="24">
        <f>IF(OR(J711="",J711=0),"",P711/J711)</f>
        <v/>
      </c>
      <c r="R711" s="25">
        <f>IF(OR(A711="",B711=""),"",B711-A711)</f>
        <v/>
      </c>
      <c r="S711" s="26">
        <f>IF(B711="","",YEAR(B711))</f>
        <v/>
      </c>
      <c r="T711" s="27">
        <f>IF(B711="","",IF(OR(F711="Electric",F711="Plug-in",F711="Hibrid"),1,0))</f>
        <v/>
      </c>
    </row>
    <row r="712">
      <c r="A712" s="18" t="n"/>
      <c r="B712" s="18" t="n"/>
      <c r="C712" s="19" t="n"/>
      <c r="D712" s="19" t="n"/>
      <c r="E712" s="20" t="n"/>
      <c r="F712" s="19" t="n"/>
      <c r="G712" s="21" t="n"/>
      <c r="H712" s="22" t="n"/>
      <c r="I712" s="22" t="n"/>
      <c r="J712" s="22" t="n"/>
      <c r="K712" s="19" t="n"/>
      <c r="L712" s="19" t="n"/>
      <c r="M712" s="19" t="n"/>
      <c r="N712" s="19" t="n"/>
      <c r="O712" s="23">
        <f>IF(J712="","",H712+I712)</f>
        <v/>
      </c>
      <c r="P712" s="23">
        <f>IF(J712="","",J712-O712)</f>
        <v/>
      </c>
      <c r="Q712" s="24">
        <f>IF(OR(J712="",J712=0),"",P712/J712)</f>
        <v/>
      </c>
      <c r="R712" s="25">
        <f>IF(OR(A712="",B712=""),"",B712-A712)</f>
        <v/>
      </c>
      <c r="S712" s="26">
        <f>IF(B712="","",YEAR(B712))</f>
        <v/>
      </c>
      <c r="T712" s="27">
        <f>IF(B712="","",IF(OR(F712="Electric",F712="Plug-in",F712="Hibrid"),1,0))</f>
        <v/>
      </c>
    </row>
    <row r="713">
      <c r="A713" s="18" t="n"/>
      <c r="B713" s="18" t="n"/>
      <c r="C713" s="19" t="n"/>
      <c r="D713" s="19" t="n"/>
      <c r="E713" s="20" t="n"/>
      <c r="F713" s="19" t="n"/>
      <c r="G713" s="21" t="n"/>
      <c r="H713" s="22" t="n"/>
      <c r="I713" s="22" t="n"/>
      <c r="J713" s="22" t="n"/>
      <c r="K713" s="19" t="n"/>
      <c r="L713" s="19" t="n"/>
      <c r="M713" s="19" t="n"/>
      <c r="N713" s="19" t="n"/>
      <c r="O713" s="23">
        <f>IF(J713="","",H713+I713)</f>
        <v/>
      </c>
      <c r="P713" s="23">
        <f>IF(J713="","",J713-O713)</f>
        <v/>
      </c>
      <c r="Q713" s="24">
        <f>IF(OR(J713="",J713=0),"",P713/J713)</f>
        <v/>
      </c>
      <c r="R713" s="25">
        <f>IF(OR(A713="",B713=""),"",B713-A713)</f>
        <v/>
      </c>
      <c r="S713" s="26">
        <f>IF(B713="","",YEAR(B713))</f>
        <v/>
      </c>
      <c r="T713" s="27">
        <f>IF(B713="","",IF(OR(F713="Electric",F713="Plug-in",F713="Hibrid"),1,0))</f>
        <v/>
      </c>
    </row>
    <row r="714">
      <c r="A714" s="18" t="n"/>
      <c r="B714" s="18" t="n"/>
      <c r="C714" s="19" t="n"/>
      <c r="D714" s="19" t="n"/>
      <c r="E714" s="20" t="n"/>
      <c r="F714" s="19" t="n"/>
      <c r="G714" s="21" t="n"/>
      <c r="H714" s="22" t="n"/>
      <c r="I714" s="22" t="n"/>
      <c r="J714" s="22" t="n"/>
      <c r="K714" s="19" t="n"/>
      <c r="L714" s="19" t="n"/>
      <c r="M714" s="19" t="n"/>
      <c r="N714" s="19" t="n"/>
      <c r="O714" s="23">
        <f>IF(J714="","",H714+I714)</f>
        <v/>
      </c>
      <c r="P714" s="23">
        <f>IF(J714="","",J714-O714)</f>
        <v/>
      </c>
      <c r="Q714" s="24">
        <f>IF(OR(J714="",J714=0),"",P714/J714)</f>
        <v/>
      </c>
      <c r="R714" s="25">
        <f>IF(OR(A714="",B714=""),"",B714-A714)</f>
        <v/>
      </c>
      <c r="S714" s="26">
        <f>IF(B714="","",YEAR(B714))</f>
        <v/>
      </c>
      <c r="T714" s="27">
        <f>IF(B714="","",IF(OR(F714="Electric",F714="Plug-in",F714="Hibrid"),1,0))</f>
        <v/>
      </c>
    </row>
    <row r="715">
      <c r="A715" s="18" t="n"/>
      <c r="B715" s="18" t="n"/>
      <c r="C715" s="19" t="n"/>
      <c r="D715" s="19" t="n"/>
      <c r="E715" s="20" t="n"/>
      <c r="F715" s="19" t="n"/>
      <c r="G715" s="21" t="n"/>
      <c r="H715" s="22" t="n"/>
      <c r="I715" s="22" t="n"/>
      <c r="J715" s="22" t="n"/>
      <c r="K715" s="19" t="n"/>
      <c r="L715" s="19" t="n"/>
      <c r="M715" s="19" t="n"/>
      <c r="N715" s="19" t="n"/>
      <c r="O715" s="23">
        <f>IF(J715="","",H715+I715)</f>
        <v/>
      </c>
      <c r="P715" s="23">
        <f>IF(J715="","",J715-O715)</f>
        <v/>
      </c>
      <c r="Q715" s="24">
        <f>IF(OR(J715="",J715=0),"",P715/J715)</f>
        <v/>
      </c>
      <c r="R715" s="25">
        <f>IF(OR(A715="",B715=""),"",B715-A715)</f>
        <v/>
      </c>
      <c r="S715" s="26">
        <f>IF(B715="","",YEAR(B715))</f>
        <v/>
      </c>
      <c r="T715" s="27">
        <f>IF(B715="","",IF(OR(F715="Electric",F715="Plug-in",F715="Hibrid"),1,0))</f>
        <v/>
      </c>
    </row>
    <row r="716">
      <c r="A716" s="18" t="n"/>
      <c r="B716" s="18" t="n"/>
      <c r="C716" s="19" t="n"/>
      <c r="D716" s="19" t="n"/>
      <c r="E716" s="20" t="n"/>
      <c r="F716" s="19" t="n"/>
      <c r="G716" s="21" t="n"/>
      <c r="H716" s="22" t="n"/>
      <c r="I716" s="22" t="n"/>
      <c r="J716" s="22" t="n"/>
      <c r="K716" s="19" t="n"/>
      <c r="L716" s="19" t="n"/>
      <c r="M716" s="19" t="n"/>
      <c r="N716" s="19" t="n"/>
      <c r="O716" s="23">
        <f>IF(J716="","",H716+I716)</f>
        <v/>
      </c>
      <c r="P716" s="23">
        <f>IF(J716="","",J716-O716)</f>
        <v/>
      </c>
      <c r="Q716" s="24">
        <f>IF(OR(J716="",J716=0),"",P716/J716)</f>
        <v/>
      </c>
      <c r="R716" s="25">
        <f>IF(OR(A716="",B716=""),"",B716-A716)</f>
        <v/>
      </c>
      <c r="S716" s="26">
        <f>IF(B716="","",YEAR(B716))</f>
        <v/>
      </c>
      <c r="T716" s="27">
        <f>IF(B716="","",IF(OR(F716="Electric",F716="Plug-in",F716="Hibrid"),1,0))</f>
        <v/>
      </c>
    </row>
    <row r="717">
      <c r="A717" s="18" t="n"/>
      <c r="B717" s="18" t="n"/>
      <c r="C717" s="19" t="n"/>
      <c r="D717" s="19" t="n"/>
      <c r="E717" s="20" t="n"/>
      <c r="F717" s="19" t="n"/>
      <c r="G717" s="21" t="n"/>
      <c r="H717" s="22" t="n"/>
      <c r="I717" s="22" t="n"/>
      <c r="J717" s="22" t="n"/>
      <c r="K717" s="19" t="n"/>
      <c r="L717" s="19" t="n"/>
      <c r="M717" s="19" t="n"/>
      <c r="N717" s="19" t="n"/>
      <c r="O717" s="23">
        <f>IF(J717="","",H717+I717)</f>
        <v/>
      </c>
      <c r="P717" s="23">
        <f>IF(J717="","",J717-O717)</f>
        <v/>
      </c>
      <c r="Q717" s="24">
        <f>IF(OR(J717="",J717=0),"",P717/J717)</f>
        <v/>
      </c>
      <c r="R717" s="25">
        <f>IF(OR(A717="",B717=""),"",B717-A717)</f>
        <v/>
      </c>
      <c r="S717" s="26">
        <f>IF(B717="","",YEAR(B717))</f>
        <v/>
      </c>
      <c r="T717" s="27">
        <f>IF(B717="","",IF(OR(F717="Electric",F717="Plug-in",F717="Hibrid"),1,0))</f>
        <v/>
      </c>
    </row>
    <row r="718">
      <c r="A718" s="18" t="n"/>
      <c r="B718" s="18" t="n"/>
      <c r="C718" s="19" t="n"/>
      <c r="D718" s="19" t="n"/>
      <c r="E718" s="20" t="n"/>
      <c r="F718" s="19" t="n"/>
      <c r="G718" s="21" t="n"/>
      <c r="H718" s="22" t="n"/>
      <c r="I718" s="22" t="n"/>
      <c r="J718" s="22" t="n"/>
      <c r="K718" s="19" t="n"/>
      <c r="L718" s="19" t="n"/>
      <c r="M718" s="19" t="n"/>
      <c r="N718" s="19" t="n"/>
      <c r="O718" s="23">
        <f>IF(J718="","",H718+I718)</f>
        <v/>
      </c>
      <c r="P718" s="23">
        <f>IF(J718="","",J718-O718)</f>
        <v/>
      </c>
      <c r="Q718" s="24">
        <f>IF(OR(J718="",J718=0),"",P718/J718)</f>
        <v/>
      </c>
      <c r="R718" s="25">
        <f>IF(OR(A718="",B718=""),"",B718-A718)</f>
        <v/>
      </c>
      <c r="S718" s="26">
        <f>IF(B718="","",YEAR(B718))</f>
        <v/>
      </c>
      <c r="T718" s="27">
        <f>IF(B718="","",IF(OR(F718="Electric",F718="Plug-in",F718="Hibrid"),1,0))</f>
        <v/>
      </c>
    </row>
    <row r="719">
      <c r="A719" s="18" t="n"/>
      <c r="B719" s="18" t="n"/>
      <c r="C719" s="19" t="n"/>
      <c r="D719" s="19" t="n"/>
      <c r="E719" s="20" t="n"/>
      <c r="F719" s="19" t="n"/>
      <c r="G719" s="21" t="n"/>
      <c r="H719" s="22" t="n"/>
      <c r="I719" s="22" t="n"/>
      <c r="J719" s="22" t="n"/>
      <c r="K719" s="19" t="n"/>
      <c r="L719" s="19" t="n"/>
      <c r="M719" s="19" t="n"/>
      <c r="N719" s="19" t="n"/>
      <c r="O719" s="23">
        <f>IF(J719="","",H719+I719)</f>
        <v/>
      </c>
      <c r="P719" s="23">
        <f>IF(J719="","",J719-O719)</f>
        <v/>
      </c>
      <c r="Q719" s="24">
        <f>IF(OR(J719="",J719=0),"",P719/J719)</f>
        <v/>
      </c>
      <c r="R719" s="25">
        <f>IF(OR(A719="",B719=""),"",B719-A719)</f>
        <v/>
      </c>
      <c r="S719" s="26">
        <f>IF(B719="","",YEAR(B719))</f>
        <v/>
      </c>
      <c r="T719" s="27">
        <f>IF(B719="","",IF(OR(F719="Electric",F719="Plug-in",F719="Hibrid"),1,0))</f>
        <v/>
      </c>
    </row>
    <row r="720">
      <c r="A720" s="18" t="n"/>
      <c r="B720" s="18" t="n"/>
      <c r="C720" s="19" t="n"/>
      <c r="D720" s="19" t="n"/>
      <c r="E720" s="20" t="n"/>
      <c r="F720" s="19" t="n"/>
      <c r="G720" s="21" t="n"/>
      <c r="H720" s="22" t="n"/>
      <c r="I720" s="22" t="n"/>
      <c r="J720" s="22" t="n"/>
      <c r="K720" s="19" t="n"/>
      <c r="L720" s="19" t="n"/>
      <c r="M720" s="19" t="n"/>
      <c r="N720" s="19" t="n"/>
      <c r="O720" s="23">
        <f>IF(J720="","",H720+I720)</f>
        <v/>
      </c>
      <c r="P720" s="23">
        <f>IF(J720="","",J720-O720)</f>
        <v/>
      </c>
      <c r="Q720" s="24">
        <f>IF(OR(J720="",J720=0),"",P720/J720)</f>
        <v/>
      </c>
      <c r="R720" s="25">
        <f>IF(OR(A720="",B720=""),"",B720-A720)</f>
        <v/>
      </c>
      <c r="S720" s="26">
        <f>IF(B720="","",YEAR(B720))</f>
        <v/>
      </c>
      <c r="T720" s="27">
        <f>IF(B720="","",IF(OR(F720="Electric",F720="Plug-in",F720="Hibrid"),1,0))</f>
        <v/>
      </c>
    </row>
    <row r="721">
      <c r="A721" s="18" t="n"/>
      <c r="B721" s="18" t="n"/>
      <c r="C721" s="19" t="n"/>
      <c r="D721" s="19" t="n"/>
      <c r="E721" s="20" t="n"/>
      <c r="F721" s="19" t="n"/>
      <c r="G721" s="21" t="n"/>
      <c r="H721" s="22" t="n"/>
      <c r="I721" s="22" t="n"/>
      <c r="J721" s="22" t="n"/>
      <c r="K721" s="19" t="n"/>
      <c r="L721" s="19" t="n"/>
      <c r="M721" s="19" t="n"/>
      <c r="N721" s="19" t="n"/>
      <c r="O721" s="23">
        <f>IF(J721="","",H721+I721)</f>
        <v/>
      </c>
      <c r="P721" s="23">
        <f>IF(J721="","",J721-O721)</f>
        <v/>
      </c>
      <c r="Q721" s="24">
        <f>IF(OR(J721="",J721=0),"",P721/J721)</f>
        <v/>
      </c>
      <c r="R721" s="25">
        <f>IF(OR(A721="",B721=""),"",B721-A721)</f>
        <v/>
      </c>
      <c r="S721" s="26">
        <f>IF(B721="","",YEAR(B721))</f>
        <v/>
      </c>
      <c r="T721" s="27">
        <f>IF(B721="","",IF(OR(F721="Electric",F721="Plug-in",F721="Hibrid"),1,0))</f>
        <v/>
      </c>
    </row>
    <row r="722">
      <c r="A722" s="18" t="n"/>
      <c r="B722" s="18" t="n"/>
      <c r="C722" s="19" t="n"/>
      <c r="D722" s="19" t="n"/>
      <c r="E722" s="20" t="n"/>
      <c r="F722" s="19" t="n"/>
      <c r="G722" s="21" t="n"/>
      <c r="H722" s="22" t="n"/>
      <c r="I722" s="22" t="n"/>
      <c r="J722" s="22" t="n"/>
      <c r="K722" s="19" t="n"/>
      <c r="L722" s="19" t="n"/>
      <c r="M722" s="19" t="n"/>
      <c r="N722" s="19" t="n"/>
      <c r="O722" s="23">
        <f>IF(J722="","",H722+I722)</f>
        <v/>
      </c>
      <c r="P722" s="23">
        <f>IF(J722="","",J722-O722)</f>
        <v/>
      </c>
      <c r="Q722" s="24">
        <f>IF(OR(J722="",J722=0),"",P722/J722)</f>
        <v/>
      </c>
      <c r="R722" s="25">
        <f>IF(OR(A722="",B722=""),"",B722-A722)</f>
        <v/>
      </c>
      <c r="S722" s="26">
        <f>IF(B722="","",YEAR(B722))</f>
        <v/>
      </c>
      <c r="T722" s="27">
        <f>IF(B722="","",IF(OR(F722="Electric",F722="Plug-in",F722="Hibrid"),1,0))</f>
        <v/>
      </c>
    </row>
    <row r="723">
      <c r="A723" s="18" t="n"/>
      <c r="B723" s="18" t="n"/>
      <c r="C723" s="19" t="n"/>
      <c r="D723" s="19" t="n"/>
      <c r="E723" s="20" t="n"/>
      <c r="F723" s="19" t="n"/>
      <c r="G723" s="21" t="n"/>
      <c r="H723" s="22" t="n"/>
      <c r="I723" s="22" t="n"/>
      <c r="J723" s="22" t="n"/>
      <c r="K723" s="19" t="n"/>
      <c r="L723" s="19" t="n"/>
      <c r="M723" s="19" t="n"/>
      <c r="N723" s="19" t="n"/>
      <c r="O723" s="23">
        <f>IF(J723="","",H723+I723)</f>
        <v/>
      </c>
      <c r="P723" s="23">
        <f>IF(J723="","",J723-O723)</f>
        <v/>
      </c>
      <c r="Q723" s="24">
        <f>IF(OR(J723="",J723=0),"",P723/J723)</f>
        <v/>
      </c>
      <c r="R723" s="25">
        <f>IF(OR(A723="",B723=""),"",B723-A723)</f>
        <v/>
      </c>
      <c r="S723" s="26">
        <f>IF(B723="","",YEAR(B723))</f>
        <v/>
      </c>
      <c r="T723" s="27">
        <f>IF(B723="","",IF(OR(F723="Electric",F723="Plug-in",F723="Hibrid"),1,0))</f>
        <v/>
      </c>
    </row>
    <row r="724">
      <c r="A724" s="18" t="n"/>
      <c r="B724" s="18" t="n"/>
      <c r="C724" s="19" t="n"/>
      <c r="D724" s="19" t="n"/>
      <c r="E724" s="20" t="n"/>
      <c r="F724" s="19" t="n"/>
      <c r="G724" s="21" t="n"/>
      <c r="H724" s="22" t="n"/>
      <c r="I724" s="22" t="n"/>
      <c r="J724" s="22" t="n"/>
      <c r="K724" s="19" t="n"/>
      <c r="L724" s="19" t="n"/>
      <c r="M724" s="19" t="n"/>
      <c r="N724" s="19" t="n"/>
      <c r="O724" s="23">
        <f>IF(J724="","",H724+I724)</f>
        <v/>
      </c>
      <c r="P724" s="23">
        <f>IF(J724="","",J724-O724)</f>
        <v/>
      </c>
      <c r="Q724" s="24">
        <f>IF(OR(J724="",J724=0),"",P724/J724)</f>
        <v/>
      </c>
      <c r="R724" s="25">
        <f>IF(OR(A724="",B724=""),"",B724-A724)</f>
        <v/>
      </c>
      <c r="S724" s="26">
        <f>IF(B724="","",YEAR(B724))</f>
        <v/>
      </c>
      <c r="T724" s="27">
        <f>IF(B724="","",IF(OR(F724="Electric",F724="Plug-in",F724="Hibrid"),1,0))</f>
        <v/>
      </c>
    </row>
    <row r="725">
      <c r="A725" s="18" t="n"/>
      <c r="B725" s="18" t="n"/>
      <c r="C725" s="19" t="n"/>
      <c r="D725" s="19" t="n"/>
      <c r="E725" s="20" t="n"/>
      <c r="F725" s="19" t="n"/>
      <c r="G725" s="21" t="n"/>
      <c r="H725" s="22" t="n"/>
      <c r="I725" s="22" t="n"/>
      <c r="J725" s="22" t="n"/>
      <c r="K725" s="19" t="n"/>
      <c r="L725" s="19" t="n"/>
      <c r="M725" s="19" t="n"/>
      <c r="N725" s="19" t="n"/>
      <c r="O725" s="23">
        <f>IF(J725="","",H725+I725)</f>
        <v/>
      </c>
      <c r="P725" s="23">
        <f>IF(J725="","",J725-O725)</f>
        <v/>
      </c>
      <c r="Q725" s="24">
        <f>IF(OR(J725="",J725=0),"",P725/J725)</f>
        <v/>
      </c>
      <c r="R725" s="25">
        <f>IF(OR(A725="",B725=""),"",B725-A725)</f>
        <v/>
      </c>
      <c r="S725" s="26">
        <f>IF(B725="","",YEAR(B725))</f>
        <v/>
      </c>
      <c r="T725" s="27">
        <f>IF(B725="","",IF(OR(F725="Electric",F725="Plug-in",F725="Hibrid"),1,0))</f>
        <v/>
      </c>
    </row>
    <row r="726">
      <c r="A726" s="18" t="n"/>
      <c r="B726" s="18" t="n"/>
      <c r="C726" s="19" t="n"/>
      <c r="D726" s="19" t="n"/>
      <c r="E726" s="20" t="n"/>
      <c r="F726" s="19" t="n"/>
      <c r="G726" s="21" t="n"/>
      <c r="H726" s="22" t="n"/>
      <c r="I726" s="22" t="n"/>
      <c r="J726" s="22" t="n"/>
      <c r="K726" s="19" t="n"/>
      <c r="L726" s="19" t="n"/>
      <c r="M726" s="19" t="n"/>
      <c r="N726" s="19" t="n"/>
      <c r="O726" s="23">
        <f>IF(J726="","",H726+I726)</f>
        <v/>
      </c>
      <c r="P726" s="23">
        <f>IF(J726="","",J726-O726)</f>
        <v/>
      </c>
      <c r="Q726" s="24">
        <f>IF(OR(J726="",J726=0),"",P726/J726)</f>
        <v/>
      </c>
      <c r="R726" s="25">
        <f>IF(OR(A726="",B726=""),"",B726-A726)</f>
        <v/>
      </c>
      <c r="S726" s="26">
        <f>IF(B726="","",YEAR(B726))</f>
        <v/>
      </c>
      <c r="T726" s="27">
        <f>IF(B726="","",IF(OR(F726="Electric",F726="Plug-in",F726="Hibrid"),1,0))</f>
        <v/>
      </c>
    </row>
    <row r="727">
      <c r="A727" s="18" t="n"/>
      <c r="B727" s="18" t="n"/>
      <c r="C727" s="19" t="n"/>
      <c r="D727" s="19" t="n"/>
      <c r="E727" s="20" t="n"/>
      <c r="F727" s="19" t="n"/>
      <c r="G727" s="21" t="n"/>
      <c r="H727" s="22" t="n"/>
      <c r="I727" s="22" t="n"/>
      <c r="J727" s="22" t="n"/>
      <c r="K727" s="19" t="n"/>
      <c r="L727" s="19" t="n"/>
      <c r="M727" s="19" t="n"/>
      <c r="N727" s="19" t="n"/>
      <c r="O727" s="23">
        <f>IF(J727="","",H727+I727)</f>
        <v/>
      </c>
      <c r="P727" s="23">
        <f>IF(J727="","",J727-O727)</f>
        <v/>
      </c>
      <c r="Q727" s="24">
        <f>IF(OR(J727="",J727=0),"",P727/J727)</f>
        <v/>
      </c>
      <c r="R727" s="25">
        <f>IF(OR(A727="",B727=""),"",B727-A727)</f>
        <v/>
      </c>
      <c r="S727" s="26">
        <f>IF(B727="","",YEAR(B727))</f>
        <v/>
      </c>
      <c r="T727" s="27">
        <f>IF(B727="","",IF(OR(F727="Electric",F727="Plug-in",F727="Hibrid"),1,0))</f>
        <v/>
      </c>
    </row>
    <row r="728">
      <c r="A728" s="18" t="n"/>
      <c r="B728" s="18" t="n"/>
      <c r="C728" s="19" t="n"/>
      <c r="D728" s="19" t="n"/>
      <c r="E728" s="20" t="n"/>
      <c r="F728" s="19" t="n"/>
      <c r="G728" s="21" t="n"/>
      <c r="H728" s="22" t="n"/>
      <c r="I728" s="22" t="n"/>
      <c r="J728" s="22" t="n"/>
      <c r="K728" s="19" t="n"/>
      <c r="L728" s="19" t="n"/>
      <c r="M728" s="19" t="n"/>
      <c r="N728" s="19" t="n"/>
      <c r="O728" s="23">
        <f>IF(J728="","",H728+I728)</f>
        <v/>
      </c>
      <c r="P728" s="23">
        <f>IF(J728="","",J728-O728)</f>
        <v/>
      </c>
      <c r="Q728" s="24">
        <f>IF(OR(J728="",J728=0),"",P728/J728)</f>
        <v/>
      </c>
      <c r="R728" s="25">
        <f>IF(OR(A728="",B728=""),"",B728-A728)</f>
        <v/>
      </c>
      <c r="S728" s="26">
        <f>IF(B728="","",YEAR(B728))</f>
        <v/>
      </c>
      <c r="T728" s="27">
        <f>IF(B728="","",IF(OR(F728="Electric",F728="Plug-in",F728="Hibrid"),1,0))</f>
        <v/>
      </c>
    </row>
    <row r="729">
      <c r="A729" s="18" t="n"/>
      <c r="B729" s="18" t="n"/>
      <c r="C729" s="19" t="n"/>
      <c r="D729" s="19" t="n"/>
      <c r="E729" s="20" t="n"/>
      <c r="F729" s="19" t="n"/>
      <c r="G729" s="21" t="n"/>
      <c r="H729" s="22" t="n"/>
      <c r="I729" s="22" t="n"/>
      <c r="J729" s="22" t="n"/>
      <c r="K729" s="19" t="n"/>
      <c r="L729" s="19" t="n"/>
      <c r="M729" s="19" t="n"/>
      <c r="N729" s="19" t="n"/>
      <c r="O729" s="23">
        <f>IF(J729="","",H729+I729)</f>
        <v/>
      </c>
      <c r="P729" s="23">
        <f>IF(J729="","",J729-O729)</f>
        <v/>
      </c>
      <c r="Q729" s="24">
        <f>IF(OR(J729="",J729=0),"",P729/J729)</f>
        <v/>
      </c>
      <c r="R729" s="25">
        <f>IF(OR(A729="",B729=""),"",B729-A729)</f>
        <v/>
      </c>
      <c r="S729" s="26">
        <f>IF(B729="","",YEAR(B729))</f>
        <v/>
      </c>
      <c r="T729" s="27">
        <f>IF(B729="","",IF(OR(F729="Electric",F729="Plug-in",F729="Hibrid"),1,0))</f>
        <v/>
      </c>
    </row>
    <row r="730">
      <c r="A730" s="18" t="n"/>
      <c r="B730" s="18" t="n"/>
      <c r="C730" s="19" t="n"/>
      <c r="D730" s="19" t="n"/>
      <c r="E730" s="20" t="n"/>
      <c r="F730" s="19" t="n"/>
      <c r="G730" s="21" t="n"/>
      <c r="H730" s="22" t="n"/>
      <c r="I730" s="22" t="n"/>
      <c r="J730" s="22" t="n"/>
      <c r="K730" s="19" t="n"/>
      <c r="L730" s="19" t="n"/>
      <c r="M730" s="19" t="n"/>
      <c r="N730" s="19" t="n"/>
      <c r="O730" s="23">
        <f>IF(J730="","",H730+I730)</f>
        <v/>
      </c>
      <c r="P730" s="23">
        <f>IF(J730="","",J730-O730)</f>
        <v/>
      </c>
      <c r="Q730" s="24">
        <f>IF(OR(J730="",J730=0),"",P730/J730)</f>
        <v/>
      </c>
      <c r="R730" s="25">
        <f>IF(OR(A730="",B730=""),"",B730-A730)</f>
        <v/>
      </c>
      <c r="S730" s="26">
        <f>IF(B730="","",YEAR(B730))</f>
        <v/>
      </c>
      <c r="T730" s="27">
        <f>IF(B730="","",IF(OR(F730="Electric",F730="Plug-in",F730="Hibrid"),1,0))</f>
        <v/>
      </c>
    </row>
    <row r="731">
      <c r="A731" s="18" t="n"/>
      <c r="B731" s="18" t="n"/>
      <c r="C731" s="19" t="n"/>
      <c r="D731" s="19" t="n"/>
      <c r="E731" s="20" t="n"/>
      <c r="F731" s="19" t="n"/>
      <c r="G731" s="21" t="n"/>
      <c r="H731" s="22" t="n"/>
      <c r="I731" s="22" t="n"/>
      <c r="J731" s="22" t="n"/>
      <c r="K731" s="19" t="n"/>
      <c r="L731" s="19" t="n"/>
      <c r="M731" s="19" t="n"/>
      <c r="N731" s="19" t="n"/>
      <c r="O731" s="23">
        <f>IF(J731="","",H731+I731)</f>
        <v/>
      </c>
      <c r="P731" s="23">
        <f>IF(J731="","",J731-O731)</f>
        <v/>
      </c>
      <c r="Q731" s="24">
        <f>IF(OR(J731="",J731=0),"",P731/J731)</f>
        <v/>
      </c>
      <c r="R731" s="25">
        <f>IF(OR(A731="",B731=""),"",B731-A731)</f>
        <v/>
      </c>
      <c r="S731" s="26">
        <f>IF(B731="","",YEAR(B731))</f>
        <v/>
      </c>
      <c r="T731" s="27">
        <f>IF(B731="","",IF(OR(F731="Electric",F731="Plug-in",F731="Hibrid"),1,0))</f>
        <v/>
      </c>
    </row>
    <row r="732">
      <c r="A732" s="18" t="n"/>
      <c r="B732" s="18" t="n"/>
      <c r="C732" s="19" t="n"/>
      <c r="D732" s="19" t="n"/>
      <c r="E732" s="20" t="n"/>
      <c r="F732" s="19" t="n"/>
      <c r="G732" s="21" t="n"/>
      <c r="H732" s="22" t="n"/>
      <c r="I732" s="22" t="n"/>
      <c r="J732" s="22" t="n"/>
      <c r="K732" s="19" t="n"/>
      <c r="L732" s="19" t="n"/>
      <c r="M732" s="19" t="n"/>
      <c r="N732" s="19" t="n"/>
      <c r="O732" s="23">
        <f>IF(J732="","",H732+I732)</f>
        <v/>
      </c>
      <c r="P732" s="23">
        <f>IF(J732="","",J732-O732)</f>
        <v/>
      </c>
      <c r="Q732" s="24">
        <f>IF(OR(J732="",J732=0),"",P732/J732)</f>
        <v/>
      </c>
      <c r="R732" s="25">
        <f>IF(OR(A732="",B732=""),"",B732-A732)</f>
        <v/>
      </c>
      <c r="S732" s="26">
        <f>IF(B732="","",YEAR(B732))</f>
        <v/>
      </c>
      <c r="T732" s="27">
        <f>IF(B732="","",IF(OR(F732="Electric",F732="Plug-in",F732="Hibrid"),1,0))</f>
        <v/>
      </c>
    </row>
    <row r="733">
      <c r="A733" s="18" t="n"/>
      <c r="B733" s="18" t="n"/>
      <c r="C733" s="19" t="n"/>
      <c r="D733" s="19" t="n"/>
      <c r="E733" s="20" t="n"/>
      <c r="F733" s="19" t="n"/>
      <c r="G733" s="21" t="n"/>
      <c r="H733" s="22" t="n"/>
      <c r="I733" s="22" t="n"/>
      <c r="J733" s="22" t="n"/>
      <c r="K733" s="19" t="n"/>
      <c r="L733" s="19" t="n"/>
      <c r="M733" s="19" t="n"/>
      <c r="N733" s="19" t="n"/>
      <c r="O733" s="23">
        <f>IF(J733="","",H733+I733)</f>
        <v/>
      </c>
      <c r="P733" s="23">
        <f>IF(J733="","",J733-O733)</f>
        <v/>
      </c>
      <c r="Q733" s="24">
        <f>IF(OR(J733="",J733=0),"",P733/J733)</f>
        <v/>
      </c>
      <c r="R733" s="25">
        <f>IF(OR(A733="",B733=""),"",B733-A733)</f>
        <v/>
      </c>
      <c r="S733" s="26">
        <f>IF(B733="","",YEAR(B733))</f>
        <v/>
      </c>
      <c r="T733" s="27">
        <f>IF(B733="","",IF(OR(F733="Electric",F733="Plug-in",F733="Hibrid"),1,0))</f>
        <v/>
      </c>
    </row>
    <row r="734">
      <c r="A734" s="18" t="n"/>
      <c r="B734" s="18" t="n"/>
      <c r="C734" s="19" t="n"/>
      <c r="D734" s="19" t="n"/>
      <c r="E734" s="20" t="n"/>
      <c r="F734" s="19" t="n"/>
      <c r="G734" s="21" t="n"/>
      <c r="H734" s="22" t="n"/>
      <c r="I734" s="22" t="n"/>
      <c r="J734" s="22" t="n"/>
      <c r="K734" s="19" t="n"/>
      <c r="L734" s="19" t="n"/>
      <c r="M734" s="19" t="n"/>
      <c r="N734" s="19" t="n"/>
      <c r="O734" s="23">
        <f>IF(J734="","",H734+I734)</f>
        <v/>
      </c>
      <c r="P734" s="23">
        <f>IF(J734="","",J734-O734)</f>
        <v/>
      </c>
      <c r="Q734" s="24">
        <f>IF(OR(J734="",J734=0),"",P734/J734)</f>
        <v/>
      </c>
      <c r="R734" s="25">
        <f>IF(OR(A734="",B734=""),"",B734-A734)</f>
        <v/>
      </c>
      <c r="S734" s="26">
        <f>IF(B734="","",YEAR(B734))</f>
        <v/>
      </c>
      <c r="T734" s="27">
        <f>IF(B734="","",IF(OR(F734="Electric",F734="Plug-in",F734="Hibrid"),1,0))</f>
        <v/>
      </c>
    </row>
    <row r="735">
      <c r="A735" s="18" t="n"/>
      <c r="B735" s="18" t="n"/>
      <c r="C735" s="19" t="n"/>
      <c r="D735" s="19" t="n"/>
      <c r="E735" s="20" t="n"/>
      <c r="F735" s="19" t="n"/>
      <c r="G735" s="21" t="n"/>
      <c r="H735" s="22" t="n"/>
      <c r="I735" s="22" t="n"/>
      <c r="J735" s="22" t="n"/>
      <c r="K735" s="19" t="n"/>
      <c r="L735" s="19" t="n"/>
      <c r="M735" s="19" t="n"/>
      <c r="N735" s="19" t="n"/>
      <c r="O735" s="23">
        <f>IF(J735="","",H735+I735)</f>
        <v/>
      </c>
      <c r="P735" s="23">
        <f>IF(J735="","",J735-O735)</f>
        <v/>
      </c>
      <c r="Q735" s="24">
        <f>IF(OR(J735="",J735=0),"",P735/J735)</f>
        <v/>
      </c>
      <c r="R735" s="25">
        <f>IF(OR(A735="",B735=""),"",B735-A735)</f>
        <v/>
      </c>
      <c r="S735" s="26">
        <f>IF(B735="","",YEAR(B735))</f>
        <v/>
      </c>
      <c r="T735" s="27">
        <f>IF(B735="","",IF(OR(F735="Electric",F735="Plug-in",F735="Hibrid"),1,0))</f>
        <v/>
      </c>
    </row>
    <row r="736">
      <c r="A736" s="18" t="n"/>
      <c r="B736" s="18" t="n"/>
      <c r="C736" s="19" t="n"/>
      <c r="D736" s="19" t="n"/>
      <c r="E736" s="20" t="n"/>
      <c r="F736" s="19" t="n"/>
      <c r="G736" s="21" t="n"/>
      <c r="H736" s="22" t="n"/>
      <c r="I736" s="22" t="n"/>
      <c r="J736" s="22" t="n"/>
      <c r="K736" s="19" t="n"/>
      <c r="L736" s="19" t="n"/>
      <c r="M736" s="19" t="n"/>
      <c r="N736" s="19" t="n"/>
      <c r="O736" s="23">
        <f>IF(J736="","",H736+I736)</f>
        <v/>
      </c>
      <c r="P736" s="23">
        <f>IF(J736="","",J736-O736)</f>
        <v/>
      </c>
      <c r="Q736" s="24">
        <f>IF(OR(J736="",J736=0),"",P736/J736)</f>
        <v/>
      </c>
      <c r="R736" s="25">
        <f>IF(OR(A736="",B736=""),"",B736-A736)</f>
        <v/>
      </c>
      <c r="S736" s="26">
        <f>IF(B736="","",YEAR(B736))</f>
        <v/>
      </c>
      <c r="T736" s="27">
        <f>IF(B736="","",IF(OR(F736="Electric",F736="Plug-in",F736="Hibrid"),1,0))</f>
        <v/>
      </c>
    </row>
    <row r="737">
      <c r="A737" s="18" t="n"/>
      <c r="B737" s="18" t="n"/>
      <c r="C737" s="19" t="n"/>
      <c r="D737" s="19" t="n"/>
      <c r="E737" s="20" t="n"/>
      <c r="F737" s="19" t="n"/>
      <c r="G737" s="21" t="n"/>
      <c r="H737" s="22" t="n"/>
      <c r="I737" s="22" t="n"/>
      <c r="J737" s="22" t="n"/>
      <c r="K737" s="19" t="n"/>
      <c r="L737" s="19" t="n"/>
      <c r="M737" s="19" t="n"/>
      <c r="N737" s="19" t="n"/>
      <c r="O737" s="23">
        <f>IF(J737="","",H737+I737)</f>
        <v/>
      </c>
      <c r="P737" s="23">
        <f>IF(J737="","",J737-O737)</f>
        <v/>
      </c>
      <c r="Q737" s="24">
        <f>IF(OR(J737="",J737=0),"",P737/J737)</f>
        <v/>
      </c>
      <c r="R737" s="25">
        <f>IF(OR(A737="",B737=""),"",B737-A737)</f>
        <v/>
      </c>
      <c r="S737" s="26">
        <f>IF(B737="","",YEAR(B737))</f>
        <v/>
      </c>
      <c r="T737" s="27">
        <f>IF(B737="","",IF(OR(F737="Electric",F737="Plug-in",F737="Hibrid"),1,0))</f>
        <v/>
      </c>
    </row>
    <row r="738">
      <c r="A738" s="18" t="n"/>
      <c r="B738" s="18" t="n"/>
      <c r="C738" s="19" t="n"/>
      <c r="D738" s="19" t="n"/>
      <c r="E738" s="20" t="n"/>
      <c r="F738" s="19" t="n"/>
      <c r="G738" s="21" t="n"/>
      <c r="H738" s="22" t="n"/>
      <c r="I738" s="22" t="n"/>
      <c r="J738" s="22" t="n"/>
      <c r="K738" s="19" t="n"/>
      <c r="L738" s="19" t="n"/>
      <c r="M738" s="19" t="n"/>
      <c r="N738" s="19" t="n"/>
      <c r="O738" s="23">
        <f>IF(J738="","",H738+I738)</f>
        <v/>
      </c>
      <c r="P738" s="23">
        <f>IF(J738="","",J738-O738)</f>
        <v/>
      </c>
      <c r="Q738" s="24">
        <f>IF(OR(J738="",J738=0),"",P738/J738)</f>
        <v/>
      </c>
      <c r="R738" s="25">
        <f>IF(OR(A738="",B738=""),"",B738-A738)</f>
        <v/>
      </c>
      <c r="S738" s="26">
        <f>IF(B738="","",YEAR(B738))</f>
        <v/>
      </c>
      <c r="T738" s="27">
        <f>IF(B738="","",IF(OR(F738="Electric",F738="Plug-in",F738="Hibrid"),1,0))</f>
        <v/>
      </c>
    </row>
    <row r="739">
      <c r="A739" s="18" t="n"/>
      <c r="B739" s="18" t="n"/>
      <c r="C739" s="19" t="n"/>
      <c r="D739" s="19" t="n"/>
      <c r="E739" s="20" t="n"/>
      <c r="F739" s="19" t="n"/>
      <c r="G739" s="21" t="n"/>
      <c r="H739" s="22" t="n"/>
      <c r="I739" s="22" t="n"/>
      <c r="J739" s="22" t="n"/>
      <c r="K739" s="19" t="n"/>
      <c r="L739" s="19" t="n"/>
      <c r="M739" s="19" t="n"/>
      <c r="N739" s="19" t="n"/>
      <c r="O739" s="23">
        <f>IF(J739="","",H739+I739)</f>
        <v/>
      </c>
      <c r="P739" s="23">
        <f>IF(J739="","",J739-O739)</f>
        <v/>
      </c>
      <c r="Q739" s="24">
        <f>IF(OR(J739="",J739=0),"",P739/J739)</f>
        <v/>
      </c>
      <c r="R739" s="25">
        <f>IF(OR(A739="",B739=""),"",B739-A739)</f>
        <v/>
      </c>
      <c r="S739" s="26">
        <f>IF(B739="","",YEAR(B739))</f>
        <v/>
      </c>
      <c r="T739" s="27">
        <f>IF(B739="","",IF(OR(F739="Electric",F739="Plug-in",F739="Hibrid"),1,0))</f>
        <v/>
      </c>
    </row>
    <row r="740">
      <c r="A740" s="18" t="n"/>
      <c r="B740" s="18" t="n"/>
      <c r="C740" s="19" t="n"/>
      <c r="D740" s="19" t="n"/>
      <c r="E740" s="20" t="n"/>
      <c r="F740" s="19" t="n"/>
      <c r="G740" s="21" t="n"/>
      <c r="H740" s="22" t="n"/>
      <c r="I740" s="22" t="n"/>
      <c r="J740" s="22" t="n"/>
      <c r="K740" s="19" t="n"/>
      <c r="L740" s="19" t="n"/>
      <c r="M740" s="19" t="n"/>
      <c r="N740" s="19" t="n"/>
      <c r="O740" s="23">
        <f>IF(J740="","",H740+I740)</f>
        <v/>
      </c>
      <c r="P740" s="23">
        <f>IF(J740="","",J740-O740)</f>
        <v/>
      </c>
      <c r="Q740" s="24">
        <f>IF(OR(J740="",J740=0),"",P740/J740)</f>
        <v/>
      </c>
      <c r="R740" s="25">
        <f>IF(OR(A740="",B740=""),"",B740-A740)</f>
        <v/>
      </c>
      <c r="S740" s="26">
        <f>IF(B740="","",YEAR(B740))</f>
        <v/>
      </c>
      <c r="T740" s="27">
        <f>IF(B740="","",IF(OR(F740="Electric",F740="Plug-in",F740="Hibrid"),1,0))</f>
        <v/>
      </c>
    </row>
    <row r="741">
      <c r="A741" s="18" t="n"/>
      <c r="B741" s="18" t="n"/>
      <c r="C741" s="19" t="n"/>
      <c r="D741" s="19" t="n"/>
      <c r="E741" s="20" t="n"/>
      <c r="F741" s="19" t="n"/>
      <c r="G741" s="21" t="n"/>
      <c r="H741" s="22" t="n"/>
      <c r="I741" s="22" t="n"/>
      <c r="J741" s="22" t="n"/>
      <c r="K741" s="19" t="n"/>
      <c r="L741" s="19" t="n"/>
      <c r="M741" s="19" t="n"/>
      <c r="N741" s="19" t="n"/>
      <c r="O741" s="23">
        <f>IF(J741="","",H741+I741)</f>
        <v/>
      </c>
      <c r="P741" s="23">
        <f>IF(J741="","",J741-O741)</f>
        <v/>
      </c>
      <c r="Q741" s="24">
        <f>IF(OR(J741="",J741=0),"",P741/J741)</f>
        <v/>
      </c>
      <c r="R741" s="25">
        <f>IF(OR(A741="",B741=""),"",B741-A741)</f>
        <v/>
      </c>
      <c r="S741" s="26">
        <f>IF(B741="","",YEAR(B741))</f>
        <v/>
      </c>
      <c r="T741" s="27">
        <f>IF(B741="","",IF(OR(F741="Electric",F741="Plug-in",F741="Hibrid"),1,0))</f>
        <v/>
      </c>
    </row>
    <row r="742">
      <c r="A742" s="18" t="n"/>
      <c r="B742" s="18" t="n"/>
      <c r="C742" s="19" t="n"/>
      <c r="D742" s="19" t="n"/>
      <c r="E742" s="20" t="n"/>
      <c r="F742" s="19" t="n"/>
      <c r="G742" s="21" t="n"/>
      <c r="H742" s="22" t="n"/>
      <c r="I742" s="22" t="n"/>
      <c r="J742" s="22" t="n"/>
      <c r="K742" s="19" t="n"/>
      <c r="L742" s="19" t="n"/>
      <c r="M742" s="19" t="n"/>
      <c r="N742" s="19" t="n"/>
      <c r="O742" s="23">
        <f>IF(J742="","",H742+I742)</f>
        <v/>
      </c>
      <c r="P742" s="23">
        <f>IF(J742="","",J742-O742)</f>
        <v/>
      </c>
      <c r="Q742" s="24">
        <f>IF(OR(J742="",J742=0),"",P742/J742)</f>
        <v/>
      </c>
      <c r="R742" s="25">
        <f>IF(OR(A742="",B742=""),"",B742-A742)</f>
        <v/>
      </c>
      <c r="S742" s="26">
        <f>IF(B742="","",YEAR(B742))</f>
        <v/>
      </c>
      <c r="T742" s="27">
        <f>IF(B742="","",IF(OR(F742="Electric",F742="Plug-in",F742="Hibrid"),1,0))</f>
        <v/>
      </c>
    </row>
    <row r="743">
      <c r="A743" s="18" t="n"/>
      <c r="B743" s="18" t="n"/>
      <c r="C743" s="19" t="n"/>
      <c r="D743" s="19" t="n"/>
      <c r="E743" s="20" t="n"/>
      <c r="F743" s="19" t="n"/>
      <c r="G743" s="21" t="n"/>
      <c r="H743" s="22" t="n"/>
      <c r="I743" s="22" t="n"/>
      <c r="J743" s="22" t="n"/>
      <c r="K743" s="19" t="n"/>
      <c r="L743" s="19" t="n"/>
      <c r="M743" s="19" t="n"/>
      <c r="N743" s="19" t="n"/>
      <c r="O743" s="23">
        <f>IF(J743="","",H743+I743)</f>
        <v/>
      </c>
      <c r="P743" s="23">
        <f>IF(J743="","",J743-O743)</f>
        <v/>
      </c>
      <c r="Q743" s="24">
        <f>IF(OR(J743="",J743=0),"",P743/J743)</f>
        <v/>
      </c>
      <c r="R743" s="25">
        <f>IF(OR(A743="",B743=""),"",B743-A743)</f>
        <v/>
      </c>
      <c r="S743" s="26">
        <f>IF(B743="","",YEAR(B743))</f>
        <v/>
      </c>
      <c r="T743" s="27">
        <f>IF(B743="","",IF(OR(F743="Electric",F743="Plug-in",F743="Hibrid"),1,0))</f>
        <v/>
      </c>
    </row>
    <row r="744">
      <c r="A744" s="18" t="n"/>
      <c r="B744" s="18" t="n"/>
      <c r="C744" s="19" t="n"/>
      <c r="D744" s="19" t="n"/>
      <c r="E744" s="20" t="n"/>
      <c r="F744" s="19" t="n"/>
      <c r="G744" s="21" t="n"/>
      <c r="H744" s="22" t="n"/>
      <c r="I744" s="22" t="n"/>
      <c r="J744" s="22" t="n"/>
      <c r="K744" s="19" t="n"/>
      <c r="L744" s="19" t="n"/>
      <c r="M744" s="19" t="n"/>
      <c r="N744" s="19" t="n"/>
      <c r="O744" s="23">
        <f>IF(J744="","",H744+I744)</f>
        <v/>
      </c>
      <c r="P744" s="23">
        <f>IF(J744="","",J744-O744)</f>
        <v/>
      </c>
      <c r="Q744" s="24">
        <f>IF(OR(J744="",J744=0),"",P744/J744)</f>
        <v/>
      </c>
      <c r="R744" s="25">
        <f>IF(OR(A744="",B744=""),"",B744-A744)</f>
        <v/>
      </c>
      <c r="S744" s="26">
        <f>IF(B744="","",YEAR(B744))</f>
        <v/>
      </c>
      <c r="T744" s="27">
        <f>IF(B744="","",IF(OR(F744="Electric",F744="Plug-in",F744="Hibrid"),1,0))</f>
        <v/>
      </c>
    </row>
    <row r="745">
      <c r="A745" s="18" t="n"/>
      <c r="B745" s="18" t="n"/>
      <c r="C745" s="19" t="n"/>
      <c r="D745" s="19" t="n"/>
      <c r="E745" s="20" t="n"/>
      <c r="F745" s="19" t="n"/>
      <c r="G745" s="21" t="n"/>
      <c r="H745" s="22" t="n"/>
      <c r="I745" s="22" t="n"/>
      <c r="J745" s="22" t="n"/>
      <c r="K745" s="19" t="n"/>
      <c r="L745" s="19" t="n"/>
      <c r="M745" s="19" t="n"/>
      <c r="N745" s="19" t="n"/>
      <c r="O745" s="23">
        <f>IF(J745="","",H745+I745)</f>
        <v/>
      </c>
      <c r="P745" s="23">
        <f>IF(J745="","",J745-O745)</f>
        <v/>
      </c>
      <c r="Q745" s="24">
        <f>IF(OR(J745="",J745=0),"",P745/J745)</f>
        <v/>
      </c>
      <c r="R745" s="25">
        <f>IF(OR(A745="",B745=""),"",B745-A745)</f>
        <v/>
      </c>
      <c r="S745" s="26">
        <f>IF(B745="","",YEAR(B745))</f>
        <v/>
      </c>
      <c r="T745" s="27">
        <f>IF(B745="","",IF(OR(F745="Electric",F745="Plug-in",F745="Hibrid"),1,0))</f>
        <v/>
      </c>
    </row>
    <row r="746">
      <c r="A746" s="18" t="n"/>
      <c r="B746" s="18" t="n"/>
      <c r="C746" s="19" t="n"/>
      <c r="D746" s="19" t="n"/>
      <c r="E746" s="20" t="n"/>
      <c r="F746" s="19" t="n"/>
      <c r="G746" s="21" t="n"/>
      <c r="H746" s="22" t="n"/>
      <c r="I746" s="22" t="n"/>
      <c r="J746" s="22" t="n"/>
      <c r="K746" s="19" t="n"/>
      <c r="L746" s="19" t="n"/>
      <c r="M746" s="19" t="n"/>
      <c r="N746" s="19" t="n"/>
      <c r="O746" s="23">
        <f>IF(J746="","",H746+I746)</f>
        <v/>
      </c>
      <c r="P746" s="23">
        <f>IF(J746="","",J746-O746)</f>
        <v/>
      </c>
      <c r="Q746" s="24">
        <f>IF(OR(J746="",J746=0),"",P746/J746)</f>
        <v/>
      </c>
      <c r="R746" s="25">
        <f>IF(OR(A746="",B746=""),"",B746-A746)</f>
        <v/>
      </c>
      <c r="S746" s="26">
        <f>IF(B746="","",YEAR(B746))</f>
        <v/>
      </c>
      <c r="T746" s="27">
        <f>IF(B746="","",IF(OR(F746="Electric",F746="Plug-in",F746="Hibrid"),1,0))</f>
        <v/>
      </c>
    </row>
    <row r="747">
      <c r="A747" s="18" t="n"/>
      <c r="B747" s="18" t="n"/>
      <c r="C747" s="19" t="n"/>
      <c r="D747" s="19" t="n"/>
      <c r="E747" s="20" t="n"/>
      <c r="F747" s="19" t="n"/>
      <c r="G747" s="21" t="n"/>
      <c r="H747" s="22" t="n"/>
      <c r="I747" s="22" t="n"/>
      <c r="J747" s="22" t="n"/>
      <c r="K747" s="19" t="n"/>
      <c r="L747" s="19" t="n"/>
      <c r="M747" s="19" t="n"/>
      <c r="N747" s="19" t="n"/>
      <c r="O747" s="23">
        <f>IF(J747="","",H747+I747)</f>
        <v/>
      </c>
      <c r="P747" s="23">
        <f>IF(J747="","",J747-O747)</f>
        <v/>
      </c>
      <c r="Q747" s="24">
        <f>IF(OR(J747="",J747=0),"",P747/J747)</f>
        <v/>
      </c>
      <c r="R747" s="25">
        <f>IF(OR(A747="",B747=""),"",B747-A747)</f>
        <v/>
      </c>
      <c r="S747" s="26">
        <f>IF(B747="","",YEAR(B747))</f>
        <v/>
      </c>
      <c r="T747" s="27">
        <f>IF(B747="","",IF(OR(F747="Electric",F747="Plug-in",F747="Hibrid"),1,0))</f>
        <v/>
      </c>
    </row>
    <row r="748">
      <c r="A748" s="18" t="n"/>
      <c r="B748" s="18" t="n"/>
      <c r="C748" s="19" t="n"/>
      <c r="D748" s="19" t="n"/>
      <c r="E748" s="20" t="n"/>
      <c r="F748" s="19" t="n"/>
      <c r="G748" s="21" t="n"/>
      <c r="H748" s="22" t="n"/>
      <c r="I748" s="22" t="n"/>
      <c r="J748" s="22" t="n"/>
      <c r="K748" s="19" t="n"/>
      <c r="L748" s="19" t="n"/>
      <c r="M748" s="19" t="n"/>
      <c r="N748" s="19" t="n"/>
      <c r="O748" s="23">
        <f>IF(J748="","",H748+I748)</f>
        <v/>
      </c>
      <c r="P748" s="23">
        <f>IF(J748="","",J748-O748)</f>
        <v/>
      </c>
      <c r="Q748" s="24">
        <f>IF(OR(J748="",J748=0),"",P748/J748)</f>
        <v/>
      </c>
      <c r="R748" s="25">
        <f>IF(OR(A748="",B748=""),"",B748-A748)</f>
        <v/>
      </c>
      <c r="S748" s="26">
        <f>IF(B748="","",YEAR(B748))</f>
        <v/>
      </c>
      <c r="T748" s="27">
        <f>IF(B748="","",IF(OR(F748="Electric",F748="Plug-in",F748="Hibrid"),1,0))</f>
        <v/>
      </c>
    </row>
    <row r="749">
      <c r="A749" s="18" t="n"/>
      <c r="B749" s="18" t="n"/>
      <c r="C749" s="19" t="n"/>
      <c r="D749" s="19" t="n"/>
      <c r="E749" s="20" t="n"/>
      <c r="F749" s="19" t="n"/>
      <c r="G749" s="21" t="n"/>
      <c r="H749" s="22" t="n"/>
      <c r="I749" s="22" t="n"/>
      <c r="J749" s="22" t="n"/>
      <c r="K749" s="19" t="n"/>
      <c r="L749" s="19" t="n"/>
      <c r="M749" s="19" t="n"/>
      <c r="N749" s="19" t="n"/>
      <c r="O749" s="23">
        <f>IF(J749="","",H749+I749)</f>
        <v/>
      </c>
      <c r="P749" s="23">
        <f>IF(J749="","",J749-O749)</f>
        <v/>
      </c>
      <c r="Q749" s="24">
        <f>IF(OR(J749="",J749=0),"",P749/J749)</f>
        <v/>
      </c>
      <c r="R749" s="25">
        <f>IF(OR(A749="",B749=""),"",B749-A749)</f>
        <v/>
      </c>
      <c r="S749" s="26">
        <f>IF(B749="","",YEAR(B749))</f>
        <v/>
      </c>
      <c r="T749" s="27">
        <f>IF(B749="","",IF(OR(F749="Electric",F749="Plug-in",F749="Hibrid"),1,0))</f>
        <v/>
      </c>
    </row>
    <row r="750">
      <c r="A750" s="18" t="n"/>
      <c r="B750" s="18" t="n"/>
      <c r="C750" s="19" t="n"/>
      <c r="D750" s="19" t="n"/>
      <c r="E750" s="20" t="n"/>
      <c r="F750" s="19" t="n"/>
      <c r="G750" s="21" t="n"/>
      <c r="H750" s="22" t="n"/>
      <c r="I750" s="22" t="n"/>
      <c r="J750" s="22" t="n"/>
      <c r="K750" s="19" t="n"/>
      <c r="L750" s="19" t="n"/>
      <c r="M750" s="19" t="n"/>
      <c r="N750" s="19" t="n"/>
      <c r="O750" s="23">
        <f>IF(J750="","",H750+I750)</f>
        <v/>
      </c>
      <c r="P750" s="23">
        <f>IF(J750="","",J750-O750)</f>
        <v/>
      </c>
      <c r="Q750" s="24">
        <f>IF(OR(J750="",J750=0),"",P750/J750)</f>
        <v/>
      </c>
      <c r="R750" s="25">
        <f>IF(OR(A750="",B750=""),"",B750-A750)</f>
        <v/>
      </c>
      <c r="S750" s="26">
        <f>IF(B750="","",YEAR(B750))</f>
        <v/>
      </c>
      <c r="T750" s="27">
        <f>IF(B750="","",IF(OR(F750="Electric",F750="Plug-in",F750="Hibrid"),1,0))</f>
        <v/>
      </c>
    </row>
    <row r="751">
      <c r="A751" s="18" t="n"/>
      <c r="B751" s="18" t="n"/>
      <c r="C751" s="19" t="n"/>
      <c r="D751" s="19" t="n"/>
      <c r="E751" s="20" t="n"/>
      <c r="F751" s="19" t="n"/>
      <c r="G751" s="21" t="n"/>
      <c r="H751" s="22" t="n"/>
      <c r="I751" s="22" t="n"/>
      <c r="J751" s="22" t="n"/>
      <c r="K751" s="19" t="n"/>
      <c r="L751" s="19" t="n"/>
      <c r="M751" s="19" t="n"/>
      <c r="N751" s="19" t="n"/>
      <c r="O751" s="23">
        <f>IF(J751="","",H751+I751)</f>
        <v/>
      </c>
      <c r="P751" s="23">
        <f>IF(J751="","",J751-O751)</f>
        <v/>
      </c>
      <c r="Q751" s="24">
        <f>IF(OR(J751="",J751=0),"",P751/J751)</f>
        <v/>
      </c>
      <c r="R751" s="25">
        <f>IF(OR(A751="",B751=""),"",B751-A751)</f>
        <v/>
      </c>
      <c r="S751" s="26">
        <f>IF(B751="","",YEAR(B751))</f>
        <v/>
      </c>
      <c r="T751" s="27">
        <f>IF(B751="","",IF(OR(F751="Electric",F751="Plug-in",F751="Hibrid"),1,0))</f>
        <v/>
      </c>
    </row>
    <row r="752">
      <c r="A752" s="18" t="n"/>
      <c r="B752" s="18" t="n"/>
      <c r="C752" s="19" t="n"/>
      <c r="D752" s="19" t="n"/>
      <c r="E752" s="20" t="n"/>
      <c r="F752" s="19" t="n"/>
      <c r="G752" s="21" t="n"/>
      <c r="H752" s="22" t="n"/>
      <c r="I752" s="22" t="n"/>
      <c r="J752" s="22" t="n"/>
      <c r="K752" s="19" t="n"/>
      <c r="L752" s="19" t="n"/>
      <c r="M752" s="19" t="n"/>
      <c r="N752" s="19" t="n"/>
      <c r="O752" s="23">
        <f>IF(J752="","",H752+I752)</f>
        <v/>
      </c>
      <c r="P752" s="23">
        <f>IF(J752="","",J752-O752)</f>
        <v/>
      </c>
      <c r="Q752" s="24">
        <f>IF(OR(J752="",J752=0),"",P752/J752)</f>
        <v/>
      </c>
      <c r="R752" s="25">
        <f>IF(OR(A752="",B752=""),"",B752-A752)</f>
        <v/>
      </c>
      <c r="S752" s="26">
        <f>IF(B752="","",YEAR(B752))</f>
        <v/>
      </c>
      <c r="T752" s="27">
        <f>IF(B752="","",IF(OR(F752="Electric",F752="Plug-in",F752="Hibrid"),1,0))</f>
        <v/>
      </c>
    </row>
    <row r="753">
      <c r="A753" s="18" t="n"/>
      <c r="B753" s="18" t="n"/>
      <c r="C753" s="19" t="n"/>
      <c r="D753" s="19" t="n"/>
      <c r="E753" s="20" t="n"/>
      <c r="F753" s="19" t="n"/>
      <c r="G753" s="21" t="n"/>
      <c r="H753" s="22" t="n"/>
      <c r="I753" s="22" t="n"/>
      <c r="J753" s="22" t="n"/>
      <c r="K753" s="19" t="n"/>
      <c r="L753" s="19" t="n"/>
      <c r="M753" s="19" t="n"/>
      <c r="N753" s="19" t="n"/>
      <c r="O753" s="23">
        <f>IF(J753="","",H753+I753)</f>
        <v/>
      </c>
      <c r="P753" s="23">
        <f>IF(J753="","",J753-O753)</f>
        <v/>
      </c>
      <c r="Q753" s="24">
        <f>IF(OR(J753="",J753=0),"",P753/J753)</f>
        <v/>
      </c>
      <c r="R753" s="25">
        <f>IF(OR(A753="",B753=""),"",B753-A753)</f>
        <v/>
      </c>
      <c r="S753" s="26">
        <f>IF(B753="","",YEAR(B753))</f>
        <v/>
      </c>
      <c r="T753" s="27">
        <f>IF(B753="","",IF(OR(F753="Electric",F753="Plug-in",F753="Hibrid"),1,0))</f>
        <v/>
      </c>
    </row>
    <row r="754">
      <c r="A754" s="18" t="n"/>
      <c r="B754" s="18" t="n"/>
      <c r="C754" s="19" t="n"/>
      <c r="D754" s="19" t="n"/>
      <c r="E754" s="20" t="n"/>
      <c r="F754" s="19" t="n"/>
      <c r="G754" s="21" t="n"/>
      <c r="H754" s="22" t="n"/>
      <c r="I754" s="22" t="n"/>
      <c r="J754" s="22" t="n"/>
      <c r="K754" s="19" t="n"/>
      <c r="L754" s="19" t="n"/>
      <c r="M754" s="19" t="n"/>
      <c r="N754" s="19" t="n"/>
      <c r="O754" s="23">
        <f>IF(J754="","",H754+I754)</f>
        <v/>
      </c>
      <c r="P754" s="23">
        <f>IF(J754="","",J754-O754)</f>
        <v/>
      </c>
      <c r="Q754" s="24">
        <f>IF(OR(J754="",J754=0),"",P754/J754)</f>
        <v/>
      </c>
      <c r="R754" s="25">
        <f>IF(OR(A754="",B754=""),"",B754-A754)</f>
        <v/>
      </c>
      <c r="S754" s="26">
        <f>IF(B754="","",YEAR(B754))</f>
        <v/>
      </c>
      <c r="T754" s="27">
        <f>IF(B754="","",IF(OR(F754="Electric",F754="Plug-in",F754="Hibrid"),1,0))</f>
        <v/>
      </c>
    </row>
    <row r="755">
      <c r="A755" s="18" t="n"/>
      <c r="B755" s="18" t="n"/>
      <c r="C755" s="19" t="n"/>
      <c r="D755" s="19" t="n"/>
      <c r="E755" s="20" t="n"/>
      <c r="F755" s="19" t="n"/>
      <c r="G755" s="21" t="n"/>
      <c r="H755" s="22" t="n"/>
      <c r="I755" s="22" t="n"/>
      <c r="J755" s="22" t="n"/>
      <c r="K755" s="19" t="n"/>
      <c r="L755" s="19" t="n"/>
      <c r="M755" s="19" t="n"/>
      <c r="N755" s="19" t="n"/>
      <c r="O755" s="23">
        <f>IF(J755="","",H755+I755)</f>
        <v/>
      </c>
      <c r="P755" s="23">
        <f>IF(J755="","",J755-O755)</f>
        <v/>
      </c>
      <c r="Q755" s="24">
        <f>IF(OR(J755="",J755=0),"",P755/J755)</f>
        <v/>
      </c>
      <c r="R755" s="25">
        <f>IF(OR(A755="",B755=""),"",B755-A755)</f>
        <v/>
      </c>
      <c r="S755" s="26">
        <f>IF(B755="","",YEAR(B755))</f>
        <v/>
      </c>
      <c r="T755" s="27">
        <f>IF(B755="","",IF(OR(F755="Electric",F755="Plug-in",F755="Hibrid"),1,0))</f>
        <v/>
      </c>
    </row>
    <row r="756">
      <c r="A756" s="18" t="n"/>
      <c r="B756" s="18" t="n"/>
      <c r="C756" s="19" t="n"/>
      <c r="D756" s="19" t="n"/>
      <c r="E756" s="20" t="n"/>
      <c r="F756" s="19" t="n"/>
      <c r="G756" s="21" t="n"/>
      <c r="H756" s="22" t="n"/>
      <c r="I756" s="22" t="n"/>
      <c r="J756" s="22" t="n"/>
      <c r="K756" s="19" t="n"/>
      <c r="L756" s="19" t="n"/>
      <c r="M756" s="19" t="n"/>
      <c r="N756" s="19" t="n"/>
      <c r="O756" s="23">
        <f>IF(J756="","",H756+I756)</f>
        <v/>
      </c>
      <c r="P756" s="23">
        <f>IF(J756="","",J756-O756)</f>
        <v/>
      </c>
      <c r="Q756" s="24">
        <f>IF(OR(J756="",J756=0),"",P756/J756)</f>
        <v/>
      </c>
      <c r="R756" s="25">
        <f>IF(OR(A756="",B756=""),"",B756-A756)</f>
        <v/>
      </c>
      <c r="S756" s="26">
        <f>IF(B756="","",YEAR(B756))</f>
        <v/>
      </c>
      <c r="T756" s="27">
        <f>IF(B756="","",IF(OR(F756="Electric",F756="Plug-in",F756="Hibrid"),1,0))</f>
        <v/>
      </c>
    </row>
    <row r="757">
      <c r="A757" s="18" t="n"/>
      <c r="B757" s="18" t="n"/>
      <c r="C757" s="19" t="n"/>
      <c r="D757" s="19" t="n"/>
      <c r="E757" s="20" t="n"/>
      <c r="F757" s="19" t="n"/>
      <c r="G757" s="21" t="n"/>
      <c r="H757" s="22" t="n"/>
      <c r="I757" s="22" t="n"/>
      <c r="J757" s="22" t="n"/>
      <c r="K757" s="19" t="n"/>
      <c r="L757" s="19" t="n"/>
      <c r="M757" s="19" t="n"/>
      <c r="N757" s="19" t="n"/>
      <c r="O757" s="23">
        <f>IF(J757="","",H757+I757)</f>
        <v/>
      </c>
      <c r="P757" s="23">
        <f>IF(J757="","",J757-O757)</f>
        <v/>
      </c>
      <c r="Q757" s="24">
        <f>IF(OR(J757="",J757=0),"",P757/J757)</f>
        <v/>
      </c>
      <c r="R757" s="25">
        <f>IF(OR(A757="",B757=""),"",B757-A757)</f>
        <v/>
      </c>
      <c r="S757" s="26">
        <f>IF(B757="","",YEAR(B757))</f>
        <v/>
      </c>
      <c r="T757" s="27">
        <f>IF(B757="","",IF(OR(F757="Electric",F757="Plug-in",F757="Hibrid"),1,0))</f>
        <v/>
      </c>
    </row>
    <row r="758">
      <c r="A758" s="18" t="n"/>
      <c r="B758" s="18" t="n"/>
      <c r="C758" s="19" t="n"/>
      <c r="D758" s="19" t="n"/>
      <c r="E758" s="20" t="n"/>
      <c r="F758" s="19" t="n"/>
      <c r="G758" s="21" t="n"/>
      <c r="H758" s="22" t="n"/>
      <c r="I758" s="22" t="n"/>
      <c r="J758" s="22" t="n"/>
      <c r="K758" s="19" t="n"/>
      <c r="L758" s="19" t="n"/>
      <c r="M758" s="19" t="n"/>
      <c r="N758" s="19" t="n"/>
      <c r="O758" s="23">
        <f>IF(J758="","",H758+I758)</f>
        <v/>
      </c>
      <c r="P758" s="23">
        <f>IF(J758="","",J758-O758)</f>
        <v/>
      </c>
      <c r="Q758" s="24">
        <f>IF(OR(J758="",J758=0),"",P758/J758)</f>
        <v/>
      </c>
      <c r="R758" s="25">
        <f>IF(OR(A758="",B758=""),"",B758-A758)</f>
        <v/>
      </c>
      <c r="S758" s="26">
        <f>IF(B758="","",YEAR(B758))</f>
        <v/>
      </c>
      <c r="T758" s="27">
        <f>IF(B758="","",IF(OR(F758="Electric",F758="Plug-in",F758="Hibrid"),1,0))</f>
        <v/>
      </c>
    </row>
    <row r="759">
      <c r="A759" s="18" t="n"/>
      <c r="B759" s="18" t="n"/>
      <c r="C759" s="19" t="n"/>
      <c r="D759" s="19" t="n"/>
      <c r="E759" s="20" t="n"/>
      <c r="F759" s="19" t="n"/>
      <c r="G759" s="21" t="n"/>
      <c r="H759" s="22" t="n"/>
      <c r="I759" s="22" t="n"/>
      <c r="J759" s="22" t="n"/>
      <c r="K759" s="19" t="n"/>
      <c r="L759" s="19" t="n"/>
      <c r="M759" s="19" t="n"/>
      <c r="N759" s="19" t="n"/>
      <c r="O759" s="23">
        <f>IF(J759="","",H759+I759)</f>
        <v/>
      </c>
      <c r="P759" s="23">
        <f>IF(J759="","",J759-O759)</f>
        <v/>
      </c>
      <c r="Q759" s="24">
        <f>IF(OR(J759="",J759=0),"",P759/J759)</f>
        <v/>
      </c>
      <c r="R759" s="25">
        <f>IF(OR(A759="",B759=""),"",B759-A759)</f>
        <v/>
      </c>
      <c r="S759" s="26">
        <f>IF(B759="","",YEAR(B759))</f>
        <v/>
      </c>
      <c r="T759" s="27">
        <f>IF(B759="","",IF(OR(F759="Electric",F759="Plug-in",F759="Hibrid"),1,0))</f>
        <v/>
      </c>
    </row>
    <row r="760">
      <c r="A760" s="18" t="n"/>
      <c r="B760" s="18" t="n"/>
      <c r="C760" s="19" t="n"/>
      <c r="D760" s="19" t="n"/>
      <c r="E760" s="20" t="n"/>
      <c r="F760" s="19" t="n"/>
      <c r="G760" s="21" t="n"/>
      <c r="H760" s="22" t="n"/>
      <c r="I760" s="22" t="n"/>
      <c r="J760" s="22" t="n"/>
      <c r="K760" s="19" t="n"/>
      <c r="L760" s="19" t="n"/>
      <c r="M760" s="19" t="n"/>
      <c r="N760" s="19" t="n"/>
      <c r="O760" s="23">
        <f>IF(J760="","",H760+I760)</f>
        <v/>
      </c>
      <c r="P760" s="23">
        <f>IF(J760="","",J760-O760)</f>
        <v/>
      </c>
      <c r="Q760" s="24">
        <f>IF(OR(J760="",J760=0),"",P760/J760)</f>
        <v/>
      </c>
      <c r="R760" s="25">
        <f>IF(OR(A760="",B760=""),"",B760-A760)</f>
        <v/>
      </c>
      <c r="S760" s="26">
        <f>IF(B760="","",YEAR(B760))</f>
        <v/>
      </c>
      <c r="T760" s="27">
        <f>IF(B760="","",IF(OR(F760="Electric",F760="Plug-in",F760="Hibrid"),1,0))</f>
        <v/>
      </c>
    </row>
    <row r="761">
      <c r="A761" s="18" t="n"/>
      <c r="B761" s="18" t="n"/>
      <c r="C761" s="19" t="n"/>
      <c r="D761" s="19" t="n"/>
      <c r="E761" s="20" t="n"/>
      <c r="F761" s="19" t="n"/>
      <c r="G761" s="21" t="n"/>
      <c r="H761" s="22" t="n"/>
      <c r="I761" s="22" t="n"/>
      <c r="J761" s="22" t="n"/>
      <c r="K761" s="19" t="n"/>
      <c r="L761" s="19" t="n"/>
      <c r="M761" s="19" t="n"/>
      <c r="N761" s="19" t="n"/>
      <c r="O761" s="23">
        <f>IF(J761="","",H761+I761)</f>
        <v/>
      </c>
      <c r="P761" s="23">
        <f>IF(J761="","",J761-O761)</f>
        <v/>
      </c>
      <c r="Q761" s="24">
        <f>IF(OR(J761="",J761=0),"",P761/J761)</f>
        <v/>
      </c>
      <c r="R761" s="25">
        <f>IF(OR(A761="",B761=""),"",B761-A761)</f>
        <v/>
      </c>
      <c r="S761" s="26">
        <f>IF(B761="","",YEAR(B761))</f>
        <v/>
      </c>
      <c r="T761" s="27">
        <f>IF(B761="","",IF(OR(F761="Electric",F761="Plug-in",F761="Hibrid"),1,0))</f>
        <v/>
      </c>
    </row>
    <row r="762">
      <c r="A762" s="18" t="n"/>
      <c r="B762" s="18" t="n"/>
      <c r="C762" s="19" t="n"/>
      <c r="D762" s="19" t="n"/>
      <c r="E762" s="20" t="n"/>
      <c r="F762" s="19" t="n"/>
      <c r="G762" s="21" t="n"/>
      <c r="H762" s="22" t="n"/>
      <c r="I762" s="22" t="n"/>
      <c r="J762" s="22" t="n"/>
      <c r="K762" s="19" t="n"/>
      <c r="L762" s="19" t="n"/>
      <c r="M762" s="19" t="n"/>
      <c r="N762" s="19" t="n"/>
      <c r="O762" s="23">
        <f>IF(J762="","",H762+I762)</f>
        <v/>
      </c>
      <c r="P762" s="23">
        <f>IF(J762="","",J762-O762)</f>
        <v/>
      </c>
      <c r="Q762" s="24">
        <f>IF(OR(J762="",J762=0),"",P762/J762)</f>
        <v/>
      </c>
      <c r="R762" s="25">
        <f>IF(OR(A762="",B762=""),"",B762-A762)</f>
        <v/>
      </c>
      <c r="S762" s="26">
        <f>IF(B762="","",YEAR(B762))</f>
        <v/>
      </c>
      <c r="T762" s="27">
        <f>IF(B762="","",IF(OR(F762="Electric",F762="Plug-in",F762="Hibrid"),1,0))</f>
        <v/>
      </c>
    </row>
    <row r="763">
      <c r="A763" s="18" t="n"/>
      <c r="B763" s="18" t="n"/>
      <c r="C763" s="19" t="n"/>
      <c r="D763" s="19" t="n"/>
      <c r="E763" s="20" t="n"/>
      <c r="F763" s="19" t="n"/>
      <c r="G763" s="21" t="n"/>
      <c r="H763" s="22" t="n"/>
      <c r="I763" s="22" t="n"/>
      <c r="J763" s="22" t="n"/>
      <c r="K763" s="19" t="n"/>
      <c r="L763" s="19" t="n"/>
      <c r="M763" s="19" t="n"/>
      <c r="N763" s="19" t="n"/>
      <c r="O763" s="23">
        <f>IF(J763="","",H763+I763)</f>
        <v/>
      </c>
      <c r="P763" s="23">
        <f>IF(J763="","",J763-O763)</f>
        <v/>
      </c>
      <c r="Q763" s="24">
        <f>IF(OR(J763="",J763=0),"",P763/J763)</f>
        <v/>
      </c>
      <c r="R763" s="25">
        <f>IF(OR(A763="",B763=""),"",B763-A763)</f>
        <v/>
      </c>
      <c r="S763" s="26">
        <f>IF(B763="","",YEAR(B763))</f>
        <v/>
      </c>
      <c r="T763" s="27">
        <f>IF(B763="","",IF(OR(F763="Electric",F763="Plug-in",F763="Hibrid"),1,0))</f>
        <v/>
      </c>
    </row>
    <row r="764">
      <c r="A764" s="18" t="n"/>
      <c r="B764" s="18" t="n"/>
      <c r="C764" s="19" t="n"/>
      <c r="D764" s="19" t="n"/>
      <c r="E764" s="20" t="n"/>
      <c r="F764" s="19" t="n"/>
      <c r="G764" s="21" t="n"/>
      <c r="H764" s="22" t="n"/>
      <c r="I764" s="22" t="n"/>
      <c r="J764" s="22" t="n"/>
      <c r="K764" s="19" t="n"/>
      <c r="L764" s="19" t="n"/>
      <c r="M764" s="19" t="n"/>
      <c r="N764" s="19" t="n"/>
      <c r="O764" s="23">
        <f>IF(J764="","",H764+I764)</f>
        <v/>
      </c>
      <c r="P764" s="23">
        <f>IF(J764="","",J764-O764)</f>
        <v/>
      </c>
      <c r="Q764" s="24">
        <f>IF(OR(J764="",J764=0),"",P764/J764)</f>
        <v/>
      </c>
      <c r="R764" s="25">
        <f>IF(OR(A764="",B764=""),"",B764-A764)</f>
        <v/>
      </c>
      <c r="S764" s="26">
        <f>IF(B764="","",YEAR(B764))</f>
        <v/>
      </c>
      <c r="T764" s="27">
        <f>IF(B764="","",IF(OR(F764="Electric",F764="Plug-in",F764="Hibrid"),1,0))</f>
        <v/>
      </c>
    </row>
    <row r="765">
      <c r="A765" s="18" t="n"/>
      <c r="B765" s="18" t="n"/>
      <c r="C765" s="19" t="n"/>
      <c r="D765" s="19" t="n"/>
      <c r="E765" s="20" t="n"/>
      <c r="F765" s="19" t="n"/>
      <c r="G765" s="21" t="n"/>
      <c r="H765" s="22" t="n"/>
      <c r="I765" s="22" t="n"/>
      <c r="J765" s="22" t="n"/>
      <c r="K765" s="19" t="n"/>
      <c r="L765" s="19" t="n"/>
      <c r="M765" s="19" t="n"/>
      <c r="N765" s="19" t="n"/>
      <c r="O765" s="23">
        <f>IF(J765="","",H765+I765)</f>
        <v/>
      </c>
      <c r="P765" s="23">
        <f>IF(J765="","",J765-O765)</f>
        <v/>
      </c>
      <c r="Q765" s="24">
        <f>IF(OR(J765="",J765=0),"",P765/J765)</f>
        <v/>
      </c>
      <c r="R765" s="25">
        <f>IF(OR(A765="",B765=""),"",B765-A765)</f>
        <v/>
      </c>
      <c r="S765" s="26">
        <f>IF(B765="","",YEAR(B765))</f>
        <v/>
      </c>
      <c r="T765" s="27">
        <f>IF(B765="","",IF(OR(F765="Electric",F765="Plug-in",F765="Hibrid"),1,0))</f>
        <v/>
      </c>
    </row>
    <row r="766">
      <c r="A766" s="18" t="n"/>
      <c r="B766" s="18" t="n"/>
      <c r="C766" s="19" t="n"/>
      <c r="D766" s="19" t="n"/>
      <c r="E766" s="20" t="n"/>
      <c r="F766" s="19" t="n"/>
      <c r="G766" s="21" t="n"/>
      <c r="H766" s="22" t="n"/>
      <c r="I766" s="22" t="n"/>
      <c r="J766" s="22" t="n"/>
      <c r="K766" s="19" t="n"/>
      <c r="L766" s="19" t="n"/>
      <c r="M766" s="19" t="n"/>
      <c r="N766" s="19" t="n"/>
      <c r="O766" s="23">
        <f>IF(J766="","",H766+I766)</f>
        <v/>
      </c>
      <c r="P766" s="23">
        <f>IF(J766="","",J766-O766)</f>
        <v/>
      </c>
      <c r="Q766" s="24">
        <f>IF(OR(J766="",J766=0),"",P766/J766)</f>
        <v/>
      </c>
      <c r="R766" s="25">
        <f>IF(OR(A766="",B766=""),"",B766-A766)</f>
        <v/>
      </c>
      <c r="S766" s="26">
        <f>IF(B766="","",YEAR(B766))</f>
        <v/>
      </c>
      <c r="T766" s="27">
        <f>IF(B766="","",IF(OR(F766="Electric",F766="Plug-in",F766="Hibrid"),1,0))</f>
        <v/>
      </c>
    </row>
    <row r="767">
      <c r="A767" s="18" t="n"/>
      <c r="B767" s="18" t="n"/>
      <c r="C767" s="19" t="n"/>
      <c r="D767" s="19" t="n"/>
      <c r="E767" s="20" t="n"/>
      <c r="F767" s="19" t="n"/>
      <c r="G767" s="21" t="n"/>
      <c r="H767" s="22" t="n"/>
      <c r="I767" s="22" t="n"/>
      <c r="J767" s="22" t="n"/>
      <c r="K767" s="19" t="n"/>
      <c r="L767" s="19" t="n"/>
      <c r="M767" s="19" t="n"/>
      <c r="N767" s="19" t="n"/>
      <c r="O767" s="23">
        <f>IF(J767="","",H767+I767)</f>
        <v/>
      </c>
      <c r="P767" s="23">
        <f>IF(J767="","",J767-O767)</f>
        <v/>
      </c>
      <c r="Q767" s="24">
        <f>IF(OR(J767="",J767=0),"",P767/J767)</f>
        <v/>
      </c>
      <c r="R767" s="25">
        <f>IF(OR(A767="",B767=""),"",B767-A767)</f>
        <v/>
      </c>
      <c r="S767" s="26">
        <f>IF(B767="","",YEAR(B767))</f>
        <v/>
      </c>
      <c r="T767" s="27">
        <f>IF(B767="","",IF(OR(F767="Electric",F767="Plug-in",F767="Hibrid"),1,0))</f>
        <v/>
      </c>
    </row>
    <row r="768">
      <c r="A768" s="18" t="n"/>
      <c r="B768" s="18" t="n"/>
      <c r="C768" s="19" t="n"/>
      <c r="D768" s="19" t="n"/>
      <c r="E768" s="20" t="n"/>
      <c r="F768" s="19" t="n"/>
      <c r="G768" s="21" t="n"/>
      <c r="H768" s="22" t="n"/>
      <c r="I768" s="22" t="n"/>
      <c r="J768" s="22" t="n"/>
      <c r="K768" s="19" t="n"/>
      <c r="L768" s="19" t="n"/>
      <c r="M768" s="19" t="n"/>
      <c r="N768" s="19" t="n"/>
      <c r="O768" s="23">
        <f>IF(J768="","",H768+I768)</f>
        <v/>
      </c>
      <c r="P768" s="23">
        <f>IF(J768="","",J768-O768)</f>
        <v/>
      </c>
      <c r="Q768" s="24">
        <f>IF(OR(J768="",J768=0),"",P768/J768)</f>
        <v/>
      </c>
      <c r="R768" s="25">
        <f>IF(OR(A768="",B768=""),"",B768-A768)</f>
        <v/>
      </c>
      <c r="S768" s="26">
        <f>IF(B768="","",YEAR(B768))</f>
        <v/>
      </c>
      <c r="T768" s="27">
        <f>IF(B768="","",IF(OR(F768="Electric",F768="Plug-in",F768="Hibrid"),1,0))</f>
        <v/>
      </c>
    </row>
    <row r="769">
      <c r="A769" s="18" t="n"/>
      <c r="B769" s="18" t="n"/>
      <c r="C769" s="19" t="n"/>
      <c r="D769" s="19" t="n"/>
      <c r="E769" s="20" t="n"/>
      <c r="F769" s="19" t="n"/>
      <c r="G769" s="21" t="n"/>
      <c r="H769" s="22" t="n"/>
      <c r="I769" s="22" t="n"/>
      <c r="J769" s="22" t="n"/>
      <c r="K769" s="19" t="n"/>
      <c r="L769" s="19" t="n"/>
      <c r="M769" s="19" t="n"/>
      <c r="N769" s="19" t="n"/>
      <c r="O769" s="23">
        <f>IF(J769="","",H769+I769)</f>
        <v/>
      </c>
      <c r="P769" s="23">
        <f>IF(J769="","",J769-O769)</f>
        <v/>
      </c>
      <c r="Q769" s="24">
        <f>IF(OR(J769="",J769=0),"",P769/J769)</f>
        <v/>
      </c>
      <c r="R769" s="25">
        <f>IF(OR(A769="",B769=""),"",B769-A769)</f>
        <v/>
      </c>
      <c r="S769" s="26">
        <f>IF(B769="","",YEAR(B769))</f>
        <v/>
      </c>
      <c r="T769" s="27">
        <f>IF(B769="","",IF(OR(F769="Electric",F769="Plug-in",F769="Hibrid"),1,0))</f>
        <v/>
      </c>
    </row>
    <row r="770">
      <c r="A770" s="18" t="n"/>
      <c r="B770" s="18" t="n"/>
      <c r="C770" s="19" t="n"/>
      <c r="D770" s="19" t="n"/>
      <c r="E770" s="20" t="n"/>
      <c r="F770" s="19" t="n"/>
      <c r="G770" s="21" t="n"/>
      <c r="H770" s="22" t="n"/>
      <c r="I770" s="22" t="n"/>
      <c r="J770" s="22" t="n"/>
      <c r="K770" s="19" t="n"/>
      <c r="L770" s="19" t="n"/>
      <c r="M770" s="19" t="n"/>
      <c r="N770" s="19" t="n"/>
      <c r="O770" s="23">
        <f>IF(J770="","",H770+I770)</f>
        <v/>
      </c>
      <c r="P770" s="23">
        <f>IF(J770="","",J770-O770)</f>
        <v/>
      </c>
      <c r="Q770" s="24">
        <f>IF(OR(J770="",J770=0),"",P770/J770)</f>
        <v/>
      </c>
      <c r="R770" s="25">
        <f>IF(OR(A770="",B770=""),"",B770-A770)</f>
        <v/>
      </c>
      <c r="S770" s="26">
        <f>IF(B770="","",YEAR(B770))</f>
        <v/>
      </c>
      <c r="T770" s="27">
        <f>IF(B770="","",IF(OR(F770="Electric",F770="Plug-in",F770="Hibrid"),1,0))</f>
        <v/>
      </c>
    </row>
    <row r="771">
      <c r="A771" s="18" t="n"/>
      <c r="B771" s="18" t="n"/>
      <c r="C771" s="19" t="n"/>
      <c r="D771" s="19" t="n"/>
      <c r="E771" s="20" t="n"/>
      <c r="F771" s="19" t="n"/>
      <c r="G771" s="21" t="n"/>
      <c r="H771" s="22" t="n"/>
      <c r="I771" s="22" t="n"/>
      <c r="J771" s="22" t="n"/>
      <c r="K771" s="19" t="n"/>
      <c r="L771" s="19" t="n"/>
      <c r="M771" s="19" t="n"/>
      <c r="N771" s="19" t="n"/>
      <c r="O771" s="23">
        <f>IF(J771="","",H771+I771)</f>
        <v/>
      </c>
      <c r="P771" s="23">
        <f>IF(J771="","",J771-O771)</f>
        <v/>
      </c>
      <c r="Q771" s="24">
        <f>IF(OR(J771="",J771=0),"",P771/J771)</f>
        <v/>
      </c>
      <c r="R771" s="25">
        <f>IF(OR(A771="",B771=""),"",B771-A771)</f>
        <v/>
      </c>
      <c r="S771" s="26">
        <f>IF(B771="","",YEAR(B771))</f>
        <v/>
      </c>
      <c r="T771" s="27">
        <f>IF(B771="","",IF(OR(F771="Electric",F771="Plug-in",F771="Hibrid"),1,0))</f>
        <v/>
      </c>
    </row>
    <row r="772">
      <c r="A772" s="18" t="n"/>
      <c r="B772" s="18" t="n"/>
      <c r="C772" s="19" t="n"/>
      <c r="D772" s="19" t="n"/>
      <c r="E772" s="20" t="n"/>
      <c r="F772" s="19" t="n"/>
      <c r="G772" s="21" t="n"/>
      <c r="H772" s="22" t="n"/>
      <c r="I772" s="22" t="n"/>
      <c r="J772" s="22" t="n"/>
      <c r="K772" s="19" t="n"/>
      <c r="L772" s="19" t="n"/>
      <c r="M772" s="19" t="n"/>
      <c r="N772" s="19" t="n"/>
      <c r="O772" s="23">
        <f>IF(J772="","",H772+I772)</f>
        <v/>
      </c>
      <c r="P772" s="23">
        <f>IF(J772="","",J772-O772)</f>
        <v/>
      </c>
      <c r="Q772" s="24">
        <f>IF(OR(J772="",J772=0),"",P772/J772)</f>
        <v/>
      </c>
      <c r="R772" s="25">
        <f>IF(OR(A772="",B772=""),"",B772-A772)</f>
        <v/>
      </c>
      <c r="S772" s="26">
        <f>IF(B772="","",YEAR(B772))</f>
        <v/>
      </c>
      <c r="T772" s="27">
        <f>IF(B772="","",IF(OR(F772="Electric",F772="Plug-in",F772="Hibrid"),1,0))</f>
        <v/>
      </c>
    </row>
    <row r="773">
      <c r="A773" s="18" t="n"/>
      <c r="B773" s="18" t="n"/>
      <c r="C773" s="19" t="n"/>
      <c r="D773" s="19" t="n"/>
      <c r="E773" s="20" t="n"/>
      <c r="F773" s="19" t="n"/>
      <c r="G773" s="21" t="n"/>
      <c r="H773" s="22" t="n"/>
      <c r="I773" s="22" t="n"/>
      <c r="J773" s="22" t="n"/>
      <c r="K773" s="19" t="n"/>
      <c r="L773" s="19" t="n"/>
      <c r="M773" s="19" t="n"/>
      <c r="N773" s="19" t="n"/>
      <c r="O773" s="23">
        <f>IF(J773="","",H773+I773)</f>
        <v/>
      </c>
      <c r="P773" s="23">
        <f>IF(J773="","",J773-O773)</f>
        <v/>
      </c>
      <c r="Q773" s="24">
        <f>IF(OR(J773="",J773=0),"",P773/J773)</f>
        <v/>
      </c>
      <c r="R773" s="25">
        <f>IF(OR(A773="",B773=""),"",B773-A773)</f>
        <v/>
      </c>
      <c r="S773" s="26">
        <f>IF(B773="","",YEAR(B773))</f>
        <v/>
      </c>
      <c r="T773" s="27">
        <f>IF(B773="","",IF(OR(F773="Electric",F773="Plug-in",F773="Hibrid"),1,0))</f>
        <v/>
      </c>
    </row>
    <row r="774">
      <c r="A774" s="18" t="n"/>
      <c r="B774" s="18" t="n"/>
      <c r="C774" s="19" t="n"/>
      <c r="D774" s="19" t="n"/>
      <c r="E774" s="20" t="n"/>
      <c r="F774" s="19" t="n"/>
      <c r="G774" s="21" t="n"/>
      <c r="H774" s="22" t="n"/>
      <c r="I774" s="22" t="n"/>
      <c r="J774" s="22" t="n"/>
      <c r="K774" s="19" t="n"/>
      <c r="L774" s="19" t="n"/>
      <c r="M774" s="19" t="n"/>
      <c r="N774" s="19" t="n"/>
      <c r="O774" s="23">
        <f>IF(J774="","",H774+I774)</f>
        <v/>
      </c>
      <c r="P774" s="23">
        <f>IF(J774="","",J774-O774)</f>
        <v/>
      </c>
      <c r="Q774" s="24">
        <f>IF(OR(J774="",J774=0),"",P774/J774)</f>
        <v/>
      </c>
      <c r="R774" s="25">
        <f>IF(OR(A774="",B774=""),"",B774-A774)</f>
        <v/>
      </c>
      <c r="S774" s="26">
        <f>IF(B774="","",YEAR(B774))</f>
        <v/>
      </c>
      <c r="T774" s="27">
        <f>IF(B774="","",IF(OR(F774="Electric",F774="Plug-in",F774="Hibrid"),1,0))</f>
        <v/>
      </c>
    </row>
    <row r="775">
      <c r="A775" s="18" t="n"/>
      <c r="B775" s="18" t="n"/>
      <c r="C775" s="19" t="n"/>
      <c r="D775" s="19" t="n"/>
      <c r="E775" s="20" t="n"/>
      <c r="F775" s="19" t="n"/>
      <c r="G775" s="21" t="n"/>
      <c r="H775" s="22" t="n"/>
      <c r="I775" s="22" t="n"/>
      <c r="J775" s="22" t="n"/>
      <c r="K775" s="19" t="n"/>
      <c r="L775" s="19" t="n"/>
      <c r="M775" s="19" t="n"/>
      <c r="N775" s="19" t="n"/>
      <c r="O775" s="23">
        <f>IF(J775="","",H775+I775)</f>
        <v/>
      </c>
      <c r="P775" s="23">
        <f>IF(J775="","",J775-O775)</f>
        <v/>
      </c>
      <c r="Q775" s="24">
        <f>IF(OR(J775="",J775=0),"",P775/J775)</f>
        <v/>
      </c>
      <c r="R775" s="25">
        <f>IF(OR(A775="",B775=""),"",B775-A775)</f>
        <v/>
      </c>
      <c r="S775" s="26">
        <f>IF(B775="","",YEAR(B775))</f>
        <v/>
      </c>
      <c r="T775" s="27">
        <f>IF(B775="","",IF(OR(F775="Electric",F775="Plug-in",F775="Hibrid"),1,0))</f>
        <v/>
      </c>
    </row>
    <row r="776">
      <c r="A776" s="18" t="n"/>
      <c r="B776" s="18" t="n"/>
      <c r="C776" s="19" t="n"/>
      <c r="D776" s="19" t="n"/>
      <c r="E776" s="20" t="n"/>
      <c r="F776" s="19" t="n"/>
      <c r="G776" s="21" t="n"/>
      <c r="H776" s="22" t="n"/>
      <c r="I776" s="22" t="n"/>
      <c r="J776" s="22" t="n"/>
      <c r="K776" s="19" t="n"/>
      <c r="L776" s="19" t="n"/>
      <c r="M776" s="19" t="n"/>
      <c r="N776" s="19" t="n"/>
      <c r="O776" s="23">
        <f>IF(J776="","",H776+I776)</f>
        <v/>
      </c>
      <c r="P776" s="23">
        <f>IF(J776="","",J776-O776)</f>
        <v/>
      </c>
      <c r="Q776" s="24">
        <f>IF(OR(J776="",J776=0),"",P776/J776)</f>
        <v/>
      </c>
      <c r="R776" s="25">
        <f>IF(OR(A776="",B776=""),"",B776-A776)</f>
        <v/>
      </c>
      <c r="S776" s="26">
        <f>IF(B776="","",YEAR(B776))</f>
        <v/>
      </c>
      <c r="T776" s="27">
        <f>IF(B776="","",IF(OR(F776="Electric",F776="Plug-in",F776="Hibrid"),1,0))</f>
        <v/>
      </c>
    </row>
    <row r="777">
      <c r="A777" s="18" t="n"/>
      <c r="B777" s="18" t="n"/>
      <c r="C777" s="19" t="n"/>
      <c r="D777" s="19" t="n"/>
      <c r="E777" s="20" t="n"/>
      <c r="F777" s="19" t="n"/>
      <c r="G777" s="21" t="n"/>
      <c r="H777" s="22" t="n"/>
      <c r="I777" s="22" t="n"/>
      <c r="J777" s="22" t="n"/>
      <c r="K777" s="19" t="n"/>
      <c r="L777" s="19" t="n"/>
      <c r="M777" s="19" t="n"/>
      <c r="N777" s="19" t="n"/>
      <c r="O777" s="23">
        <f>IF(J777="","",H777+I777)</f>
        <v/>
      </c>
      <c r="P777" s="23">
        <f>IF(J777="","",J777-O777)</f>
        <v/>
      </c>
      <c r="Q777" s="24">
        <f>IF(OR(J777="",J777=0),"",P777/J777)</f>
        <v/>
      </c>
      <c r="R777" s="25">
        <f>IF(OR(A777="",B777=""),"",B777-A777)</f>
        <v/>
      </c>
      <c r="S777" s="26">
        <f>IF(B777="","",YEAR(B777))</f>
        <v/>
      </c>
      <c r="T777" s="27">
        <f>IF(B777="","",IF(OR(F777="Electric",F777="Plug-in",F777="Hibrid"),1,0))</f>
        <v/>
      </c>
    </row>
    <row r="778">
      <c r="A778" s="18" t="n"/>
      <c r="B778" s="18" t="n"/>
      <c r="C778" s="19" t="n"/>
      <c r="D778" s="19" t="n"/>
      <c r="E778" s="20" t="n"/>
      <c r="F778" s="19" t="n"/>
      <c r="G778" s="21" t="n"/>
      <c r="H778" s="22" t="n"/>
      <c r="I778" s="22" t="n"/>
      <c r="J778" s="22" t="n"/>
      <c r="K778" s="19" t="n"/>
      <c r="L778" s="19" t="n"/>
      <c r="M778" s="19" t="n"/>
      <c r="N778" s="19" t="n"/>
      <c r="O778" s="23">
        <f>IF(J778="","",H778+I778)</f>
        <v/>
      </c>
      <c r="P778" s="23">
        <f>IF(J778="","",J778-O778)</f>
        <v/>
      </c>
      <c r="Q778" s="24">
        <f>IF(OR(J778="",J778=0),"",P778/J778)</f>
        <v/>
      </c>
      <c r="R778" s="25">
        <f>IF(OR(A778="",B778=""),"",B778-A778)</f>
        <v/>
      </c>
      <c r="S778" s="26">
        <f>IF(B778="","",YEAR(B778))</f>
        <v/>
      </c>
      <c r="T778" s="27">
        <f>IF(B778="","",IF(OR(F778="Electric",F778="Plug-in",F778="Hibrid"),1,0))</f>
        <v/>
      </c>
    </row>
    <row r="779">
      <c r="A779" s="18" t="n"/>
      <c r="B779" s="18" t="n"/>
      <c r="C779" s="19" t="n"/>
      <c r="D779" s="19" t="n"/>
      <c r="E779" s="20" t="n"/>
      <c r="F779" s="19" t="n"/>
      <c r="G779" s="21" t="n"/>
      <c r="H779" s="22" t="n"/>
      <c r="I779" s="22" t="n"/>
      <c r="J779" s="22" t="n"/>
      <c r="K779" s="19" t="n"/>
      <c r="L779" s="19" t="n"/>
      <c r="M779" s="19" t="n"/>
      <c r="N779" s="19" t="n"/>
      <c r="O779" s="23">
        <f>IF(J779="","",H779+I779)</f>
        <v/>
      </c>
      <c r="P779" s="23">
        <f>IF(J779="","",J779-O779)</f>
        <v/>
      </c>
      <c r="Q779" s="24">
        <f>IF(OR(J779="",J779=0),"",P779/J779)</f>
        <v/>
      </c>
      <c r="R779" s="25">
        <f>IF(OR(A779="",B779=""),"",B779-A779)</f>
        <v/>
      </c>
      <c r="S779" s="26">
        <f>IF(B779="","",YEAR(B779))</f>
        <v/>
      </c>
      <c r="T779" s="27">
        <f>IF(B779="","",IF(OR(F779="Electric",F779="Plug-in",F779="Hibrid"),1,0))</f>
        <v/>
      </c>
    </row>
    <row r="780">
      <c r="A780" s="18" t="n"/>
      <c r="B780" s="18" t="n"/>
      <c r="C780" s="19" t="n"/>
      <c r="D780" s="19" t="n"/>
      <c r="E780" s="20" t="n"/>
      <c r="F780" s="19" t="n"/>
      <c r="G780" s="21" t="n"/>
      <c r="H780" s="22" t="n"/>
      <c r="I780" s="22" t="n"/>
      <c r="J780" s="22" t="n"/>
      <c r="K780" s="19" t="n"/>
      <c r="L780" s="19" t="n"/>
      <c r="M780" s="19" t="n"/>
      <c r="N780" s="19" t="n"/>
      <c r="O780" s="23">
        <f>IF(J780="","",H780+I780)</f>
        <v/>
      </c>
      <c r="P780" s="23">
        <f>IF(J780="","",J780-O780)</f>
        <v/>
      </c>
      <c r="Q780" s="24">
        <f>IF(OR(J780="",J780=0),"",P780/J780)</f>
        <v/>
      </c>
      <c r="R780" s="25">
        <f>IF(OR(A780="",B780=""),"",B780-A780)</f>
        <v/>
      </c>
      <c r="S780" s="26">
        <f>IF(B780="","",YEAR(B780))</f>
        <v/>
      </c>
      <c r="T780" s="27">
        <f>IF(B780="","",IF(OR(F780="Electric",F780="Plug-in",F780="Hibrid"),1,0))</f>
        <v/>
      </c>
    </row>
    <row r="781">
      <c r="A781" s="18" t="n"/>
      <c r="B781" s="18" t="n"/>
      <c r="C781" s="19" t="n"/>
      <c r="D781" s="19" t="n"/>
      <c r="E781" s="20" t="n"/>
      <c r="F781" s="19" t="n"/>
      <c r="G781" s="21" t="n"/>
      <c r="H781" s="22" t="n"/>
      <c r="I781" s="22" t="n"/>
      <c r="J781" s="22" t="n"/>
      <c r="K781" s="19" t="n"/>
      <c r="L781" s="19" t="n"/>
      <c r="M781" s="19" t="n"/>
      <c r="N781" s="19" t="n"/>
      <c r="O781" s="23">
        <f>IF(J781="","",H781+I781)</f>
        <v/>
      </c>
      <c r="P781" s="23">
        <f>IF(J781="","",J781-O781)</f>
        <v/>
      </c>
      <c r="Q781" s="24">
        <f>IF(OR(J781="",J781=0),"",P781/J781)</f>
        <v/>
      </c>
      <c r="R781" s="25">
        <f>IF(OR(A781="",B781=""),"",B781-A781)</f>
        <v/>
      </c>
      <c r="S781" s="26">
        <f>IF(B781="","",YEAR(B781))</f>
        <v/>
      </c>
      <c r="T781" s="27">
        <f>IF(B781="","",IF(OR(F781="Electric",F781="Plug-in",F781="Hibrid"),1,0))</f>
        <v/>
      </c>
    </row>
    <row r="782">
      <c r="A782" s="18" t="n"/>
      <c r="B782" s="18" t="n"/>
      <c r="C782" s="19" t="n"/>
      <c r="D782" s="19" t="n"/>
      <c r="E782" s="20" t="n"/>
      <c r="F782" s="19" t="n"/>
      <c r="G782" s="21" t="n"/>
      <c r="H782" s="22" t="n"/>
      <c r="I782" s="22" t="n"/>
      <c r="J782" s="22" t="n"/>
      <c r="K782" s="19" t="n"/>
      <c r="L782" s="19" t="n"/>
      <c r="M782" s="19" t="n"/>
      <c r="N782" s="19" t="n"/>
      <c r="O782" s="23">
        <f>IF(J782="","",H782+I782)</f>
        <v/>
      </c>
      <c r="P782" s="23">
        <f>IF(J782="","",J782-O782)</f>
        <v/>
      </c>
      <c r="Q782" s="24">
        <f>IF(OR(J782="",J782=0),"",P782/J782)</f>
        <v/>
      </c>
      <c r="R782" s="25">
        <f>IF(OR(A782="",B782=""),"",B782-A782)</f>
        <v/>
      </c>
      <c r="S782" s="26">
        <f>IF(B782="","",YEAR(B782))</f>
        <v/>
      </c>
      <c r="T782" s="27">
        <f>IF(B782="","",IF(OR(F782="Electric",F782="Plug-in",F782="Hibrid"),1,0))</f>
        <v/>
      </c>
    </row>
    <row r="783">
      <c r="A783" s="18" t="n"/>
      <c r="B783" s="18" t="n"/>
      <c r="C783" s="19" t="n"/>
      <c r="D783" s="19" t="n"/>
      <c r="E783" s="20" t="n"/>
      <c r="F783" s="19" t="n"/>
      <c r="G783" s="21" t="n"/>
      <c r="H783" s="22" t="n"/>
      <c r="I783" s="22" t="n"/>
      <c r="J783" s="22" t="n"/>
      <c r="K783" s="19" t="n"/>
      <c r="L783" s="19" t="n"/>
      <c r="M783" s="19" t="n"/>
      <c r="N783" s="19" t="n"/>
      <c r="O783" s="23">
        <f>IF(J783="","",H783+I783)</f>
        <v/>
      </c>
      <c r="P783" s="23">
        <f>IF(J783="","",J783-O783)</f>
        <v/>
      </c>
      <c r="Q783" s="24">
        <f>IF(OR(J783="",J783=0),"",P783/J783)</f>
        <v/>
      </c>
      <c r="R783" s="25">
        <f>IF(OR(A783="",B783=""),"",B783-A783)</f>
        <v/>
      </c>
      <c r="S783" s="26">
        <f>IF(B783="","",YEAR(B783))</f>
        <v/>
      </c>
      <c r="T783" s="27">
        <f>IF(B783="","",IF(OR(F783="Electric",F783="Plug-in",F783="Hibrid"),1,0))</f>
        <v/>
      </c>
    </row>
    <row r="784">
      <c r="A784" s="18" t="n"/>
      <c r="B784" s="18" t="n"/>
      <c r="C784" s="19" t="n"/>
      <c r="D784" s="19" t="n"/>
      <c r="E784" s="20" t="n"/>
      <c r="F784" s="19" t="n"/>
      <c r="G784" s="21" t="n"/>
      <c r="H784" s="22" t="n"/>
      <c r="I784" s="22" t="n"/>
      <c r="J784" s="22" t="n"/>
      <c r="K784" s="19" t="n"/>
      <c r="L784" s="19" t="n"/>
      <c r="M784" s="19" t="n"/>
      <c r="N784" s="19" t="n"/>
      <c r="O784" s="23">
        <f>IF(J784="","",H784+I784)</f>
        <v/>
      </c>
      <c r="P784" s="23">
        <f>IF(J784="","",J784-O784)</f>
        <v/>
      </c>
      <c r="Q784" s="24">
        <f>IF(OR(J784="",J784=0),"",P784/J784)</f>
        <v/>
      </c>
      <c r="R784" s="25">
        <f>IF(OR(A784="",B784=""),"",B784-A784)</f>
        <v/>
      </c>
      <c r="S784" s="26">
        <f>IF(B784="","",YEAR(B784))</f>
        <v/>
      </c>
      <c r="T784" s="27">
        <f>IF(B784="","",IF(OR(F784="Electric",F784="Plug-in",F784="Hibrid"),1,0))</f>
        <v/>
      </c>
    </row>
    <row r="785">
      <c r="A785" s="18" t="n"/>
      <c r="B785" s="18" t="n"/>
      <c r="C785" s="19" t="n"/>
      <c r="D785" s="19" t="n"/>
      <c r="E785" s="20" t="n"/>
      <c r="F785" s="19" t="n"/>
      <c r="G785" s="21" t="n"/>
      <c r="H785" s="22" t="n"/>
      <c r="I785" s="22" t="n"/>
      <c r="J785" s="22" t="n"/>
      <c r="K785" s="19" t="n"/>
      <c r="L785" s="19" t="n"/>
      <c r="M785" s="19" t="n"/>
      <c r="N785" s="19" t="n"/>
      <c r="O785" s="23">
        <f>IF(J785="","",H785+I785)</f>
        <v/>
      </c>
      <c r="P785" s="23">
        <f>IF(J785="","",J785-O785)</f>
        <v/>
      </c>
      <c r="Q785" s="24">
        <f>IF(OR(J785="",J785=0),"",P785/J785)</f>
        <v/>
      </c>
      <c r="R785" s="25">
        <f>IF(OR(A785="",B785=""),"",B785-A785)</f>
        <v/>
      </c>
      <c r="S785" s="26">
        <f>IF(B785="","",YEAR(B785))</f>
        <v/>
      </c>
      <c r="T785" s="27">
        <f>IF(B785="","",IF(OR(F785="Electric",F785="Plug-in",F785="Hibrid"),1,0))</f>
        <v/>
      </c>
    </row>
    <row r="786">
      <c r="A786" s="18" t="n"/>
      <c r="B786" s="18" t="n"/>
      <c r="C786" s="19" t="n"/>
      <c r="D786" s="19" t="n"/>
      <c r="E786" s="20" t="n"/>
      <c r="F786" s="19" t="n"/>
      <c r="G786" s="21" t="n"/>
      <c r="H786" s="22" t="n"/>
      <c r="I786" s="22" t="n"/>
      <c r="J786" s="22" t="n"/>
      <c r="K786" s="19" t="n"/>
      <c r="L786" s="19" t="n"/>
      <c r="M786" s="19" t="n"/>
      <c r="N786" s="19" t="n"/>
      <c r="O786" s="23">
        <f>IF(J786="","",H786+I786)</f>
        <v/>
      </c>
      <c r="P786" s="23">
        <f>IF(J786="","",J786-O786)</f>
        <v/>
      </c>
      <c r="Q786" s="24">
        <f>IF(OR(J786="",J786=0),"",P786/J786)</f>
        <v/>
      </c>
      <c r="R786" s="25">
        <f>IF(OR(A786="",B786=""),"",B786-A786)</f>
        <v/>
      </c>
      <c r="S786" s="26">
        <f>IF(B786="","",YEAR(B786))</f>
        <v/>
      </c>
      <c r="T786" s="27">
        <f>IF(B786="","",IF(OR(F786="Electric",F786="Plug-in",F786="Hibrid"),1,0))</f>
        <v/>
      </c>
    </row>
    <row r="787">
      <c r="A787" s="18" t="n"/>
      <c r="B787" s="18" t="n"/>
      <c r="C787" s="19" t="n"/>
      <c r="D787" s="19" t="n"/>
      <c r="E787" s="20" t="n"/>
      <c r="F787" s="19" t="n"/>
      <c r="G787" s="21" t="n"/>
      <c r="H787" s="22" t="n"/>
      <c r="I787" s="22" t="n"/>
      <c r="J787" s="22" t="n"/>
      <c r="K787" s="19" t="n"/>
      <c r="L787" s="19" t="n"/>
      <c r="M787" s="19" t="n"/>
      <c r="N787" s="19" t="n"/>
      <c r="O787" s="23">
        <f>IF(J787="","",H787+I787)</f>
        <v/>
      </c>
      <c r="P787" s="23">
        <f>IF(J787="","",J787-O787)</f>
        <v/>
      </c>
      <c r="Q787" s="24">
        <f>IF(OR(J787="",J787=0),"",P787/J787)</f>
        <v/>
      </c>
      <c r="R787" s="25">
        <f>IF(OR(A787="",B787=""),"",B787-A787)</f>
        <v/>
      </c>
      <c r="S787" s="26">
        <f>IF(B787="","",YEAR(B787))</f>
        <v/>
      </c>
      <c r="T787" s="27">
        <f>IF(B787="","",IF(OR(F787="Electric",F787="Plug-in",F787="Hibrid"),1,0))</f>
        <v/>
      </c>
    </row>
    <row r="788">
      <c r="A788" s="18" t="n"/>
      <c r="B788" s="18" t="n"/>
      <c r="C788" s="19" t="n"/>
      <c r="D788" s="19" t="n"/>
      <c r="E788" s="20" t="n"/>
      <c r="F788" s="19" t="n"/>
      <c r="G788" s="21" t="n"/>
      <c r="H788" s="22" t="n"/>
      <c r="I788" s="22" t="n"/>
      <c r="J788" s="22" t="n"/>
      <c r="K788" s="19" t="n"/>
      <c r="L788" s="19" t="n"/>
      <c r="M788" s="19" t="n"/>
      <c r="N788" s="19" t="n"/>
      <c r="O788" s="23">
        <f>IF(J788="","",H788+I788)</f>
        <v/>
      </c>
      <c r="P788" s="23">
        <f>IF(J788="","",J788-O788)</f>
        <v/>
      </c>
      <c r="Q788" s="24">
        <f>IF(OR(J788="",J788=0),"",P788/J788)</f>
        <v/>
      </c>
      <c r="R788" s="25">
        <f>IF(OR(A788="",B788=""),"",B788-A788)</f>
        <v/>
      </c>
      <c r="S788" s="26">
        <f>IF(B788="","",YEAR(B788))</f>
        <v/>
      </c>
      <c r="T788" s="27">
        <f>IF(B788="","",IF(OR(F788="Electric",F788="Plug-in",F788="Hibrid"),1,0))</f>
        <v/>
      </c>
    </row>
    <row r="789">
      <c r="A789" s="18" t="n"/>
      <c r="B789" s="18" t="n"/>
      <c r="C789" s="19" t="n"/>
      <c r="D789" s="19" t="n"/>
      <c r="E789" s="20" t="n"/>
      <c r="F789" s="19" t="n"/>
      <c r="G789" s="21" t="n"/>
      <c r="H789" s="22" t="n"/>
      <c r="I789" s="22" t="n"/>
      <c r="J789" s="22" t="n"/>
      <c r="K789" s="19" t="n"/>
      <c r="L789" s="19" t="n"/>
      <c r="M789" s="19" t="n"/>
      <c r="N789" s="19" t="n"/>
      <c r="O789" s="23">
        <f>IF(J789="","",H789+I789)</f>
        <v/>
      </c>
      <c r="P789" s="23">
        <f>IF(J789="","",J789-O789)</f>
        <v/>
      </c>
      <c r="Q789" s="24">
        <f>IF(OR(J789="",J789=0),"",P789/J789)</f>
        <v/>
      </c>
      <c r="R789" s="25">
        <f>IF(OR(A789="",B789=""),"",B789-A789)</f>
        <v/>
      </c>
      <c r="S789" s="26">
        <f>IF(B789="","",YEAR(B789))</f>
        <v/>
      </c>
      <c r="T789" s="27">
        <f>IF(B789="","",IF(OR(F789="Electric",F789="Plug-in",F789="Hibrid"),1,0))</f>
        <v/>
      </c>
    </row>
    <row r="790">
      <c r="A790" s="18" t="n"/>
      <c r="B790" s="18" t="n"/>
      <c r="C790" s="19" t="n"/>
      <c r="D790" s="19" t="n"/>
      <c r="E790" s="20" t="n"/>
      <c r="F790" s="19" t="n"/>
      <c r="G790" s="21" t="n"/>
      <c r="H790" s="22" t="n"/>
      <c r="I790" s="22" t="n"/>
      <c r="J790" s="22" t="n"/>
      <c r="K790" s="19" t="n"/>
      <c r="L790" s="19" t="n"/>
      <c r="M790" s="19" t="n"/>
      <c r="N790" s="19" t="n"/>
      <c r="O790" s="23">
        <f>IF(J790="","",H790+I790)</f>
        <v/>
      </c>
      <c r="P790" s="23">
        <f>IF(J790="","",J790-O790)</f>
        <v/>
      </c>
      <c r="Q790" s="24">
        <f>IF(OR(J790="",J790=0),"",P790/J790)</f>
        <v/>
      </c>
      <c r="R790" s="25">
        <f>IF(OR(A790="",B790=""),"",B790-A790)</f>
        <v/>
      </c>
      <c r="S790" s="26">
        <f>IF(B790="","",YEAR(B790))</f>
        <v/>
      </c>
      <c r="T790" s="27">
        <f>IF(B790="","",IF(OR(F790="Electric",F790="Plug-in",F790="Hibrid"),1,0))</f>
        <v/>
      </c>
    </row>
    <row r="791">
      <c r="A791" s="18" t="n"/>
      <c r="B791" s="18" t="n"/>
      <c r="C791" s="19" t="n"/>
      <c r="D791" s="19" t="n"/>
      <c r="E791" s="20" t="n"/>
      <c r="F791" s="19" t="n"/>
      <c r="G791" s="21" t="n"/>
      <c r="H791" s="22" t="n"/>
      <c r="I791" s="22" t="n"/>
      <c r="J791" s="22" t="n"/>
      <c r="K791" s="19" t="n"/>
      <c r="L791" s="19" t="n"/>
      <c r="M791" s="19" t="n"/>
      <c r="N791" s="19" t="n"/>
      <c r="O791" s="23">
        <f>IF(J791="","",H791+I791)</f>
        <v/>
      </c>
      <c r="P791" s="23">
        <f>IF(J791="","",J791-O791)</f>
        <v/>
      </c>
      <c r="Q791" s="24">
        <f>IF(OR(J791="",J791=0),"",P791/J791)</f>
        <v/>
      </c>
      <c r="R791" s="25">
        <f>IF(OR(A791="",B791=""),"",B791-A791)</f>
        <v/>
      </c>
      <c r="S791" s="26">
        <f>IF(B791="","",YEAR(B791))</f>
        <v/>
      </c>
      <c r="T791" s="27">
        <f>IF(B791="","",IF(OR(F791="Electric",F791="Plug-in",F791="Hibrid"),1,0))</f>
        <v/>
      </c>
    </row>
    <row r="792">
      <c r="A792" s="18" t="n"/>
      <c r="B792" s="18" t="n"/>
      <c r="C792" s="19" t="n"/>
      <c r="D792" s="19" t="n"/>
      <c r="E792" s="20" t="n"/>
      <c r="F792" s="19" t="n"/>
      <c r="G792" s="21" t="n"/>
      <c r="H792" s="22" t="n"/>
      <c r="I792" s="22" t="n"/>
      <c r="J792" s="22" t="n"/>
      <c r="K792" s="19" t="n"/>
      <c r="L792" s="19" t="n"/>
      <c r="M792" s="19" t="n"/>
      <c r="N792" s="19" t="n"/>
      <c r="O792" s="23">
        <f>IF(J792="","",H792+I792)</f>
        <v/>
      </c>
      <c r="P792" s="23">
        <f>IF(J792="","",J792-O792)</f>
        <v/>
      </c>
      <c r="Q792" s="24">
        <f>IF(OR(J792="",J792=0),"",P792/J792)</f>
        <v/>
      </c>
      <c r="R792" s="25">
        <f>IF(OR(A792="",B792=""),"",B792-A792)</f>
        <v/>
      </c>
      <c r="S792" s="26">
        <f>IF(B792="","",YEAR(B792))</f>
        <v/>
      </c>
      <c r="T792" s="27">
        <f>IF(B792="","",IF(OR(F792="Electric",F792="Plug-in",F792="Hibrid"),1,0))</f>
        <v/>
      </c>
    </row>
    <row r="793">
      <c r="A793" s="18" t="n"/>
      <c r="B793" s="18" t="n"/>
      <c r="C793" s="19" t="n"/>
      <c r="D793" s="19" t="n"/>
      <c r="E793" s="20" t="n"/>
      <c r="F793" s="19" t="n"/>
      <c r="G793" s="21" t="n"/>
      <c r="H793" s="22" t="n"/>
      <c r="I793" s="22" t="n"/>
      <c r="J793" s="22" t="n"/>
      <c r="K793" s="19" t="n"/>
      <c r="L793" s="19" t="n"/>
      <c r="M793" s="19" t="n"/>
      <c r="N793" s="19" t="n"/>
      <c r="O793" s="23">
        <f>IF(J793="","",H793+I793)</f>
        <v/>
      </c>
      <c r="P793" s="23">
        <f>IF(J793="","",J793-O793)</f>
        <v/>
      </c>
      <c r="Q793" s="24">
        <f>IF(OR(J793="",J793=0),"",P793/J793)</f>
        <v/>
      </c>
      <c r="R793" s="25">
        <f>IF(OR(A793="",B793=""),"",B793-A793)</f>
        <v/>
      </c>
      <c r="S793" s="26">
        <f>IF(B793="","",YEAR(B793))</f>
        <v/>
      </c>
      <c r="T793" s="27">
        <f>IF(B793="","",IF(OR(F793="Electric",F793="Plug-in",F793="Hibrid"),1,0))</f>
        <v/>
      </c>
    </row>
    <row r="794">
      <c r="A794" s="18" t="n"/>
      <c r="B794" s="18" t="n"/>
      <c r="C794" s="19" t="n"/>
      <c r="D794" s="19" t="n"/>
      <c r="E794" s="20" t="n"/>
      <c r="F794" s="19" t="n"/>
      <c r="G794" s="21" t="n"/>
      <c r="H794" s="22" t="n"/>
      <c r="I794" s="22" t="n"/>
      <c r="J794" s="22" t="n"/>
      <c r="K794" s="19" t="n"/>
      <c r="L794" s="19" t="n"/>
      <c r="M794" s="19" t="n"/>
      <c r="N794" s="19" t="n"/>
      <c r="O794" s="23">
        <f>IF(J794="","",H794+I794)</f>
        <v/>
      </c>
      <c r="P794" s="23">
        <f>IF(J794="","",J794-O794)</f>
        <v/>
      </c>
      <c r="Q794" s="24">
        <f>IF(OR(J794="",J794=0),"",P794/J794)</f>
        <v/>
      </c>
      <c r="R794" s="25">
        <f>IF(OR(A794="",B794=""),"",B794-A794)</f>
        <v/>
      </c>
      <c r="S794" s="26">
        <f>IF(B794="","",YEAR(B794))</f>
        <v/>
      </c>
      <c r="T794" s="27">
        <f>IF(B794="","",IF(OR(F794="Electric",F794="Plug-in",F794="Hibrid"),1,0))</f>
        <v/>
      </c>
    </row>
    <row r="795">
      <c r="A795" s="18" t="n"/>
      <c r="B795" s="18" t="n"/>
      <c r="C795" s="19" t="n"/>
      <c r="D795" s="19" t="n"/>
      <c r="E795" s="20" t="n"/>
      <c r="F795" s="19" t="n"/>
      <c r="G795" s="21" t="n"/>
      <c r="H795" s="22" t="n"/>
      <c r="I795" s="22" t="n"/>
      <c r="J795" s="22" t="n"/>
      <c r="K795" s="19" t="n"/>
      <c r="L795" s="19" t="n"/>
      <c r="M795" s="19" t="n"/>
      <c r="N795" s="19" t="n"/>
      <c r="O795" s="23">
        <f>IF(J795="","",H795+I795)</f>
        <v/>
      </c>
      <c r="P795" s="23">
        <f>IF(J795="","",J795-O795)</f>
        <v/>
      </c>
      <c r="Q795" s="24">
        <f>IF(OR(J795="",J795=0),"",P795/J795)</f>
        <v/>
      </c>
      <c r="R795" s="25">
        <f>IF(OR(A795="",B795=""),"",B795-A795)</f>
        <v/>
      </c>
      <c r="S795" s="26">
        <f>IF(B795="","",YEAR(B795))</f>
        <v/>
      </c>
      <c r="T795" s="27">
        <f>IF(B795="","",IF(OR(F795="Electric",F795="Plug-in",F795="Hibrid"),1,0))</f>
        <v/>
      </c>
    </row>
    <row r="796">
      <c r="A796" s="18" t="n"/>
      <c r="B796" s="18" t="n"/>
      <c r="C796" s="19" t="n"/>
      <c r="D796" s="19" t="n"/>
      <c r="E796" s="20" t="n"/>
      <c r="F796" s="19" t="n"/>
      <c r="G796" s="21" t="n"/>
      <c r="H796" s="22" t="n"/>
      <c r="I796" s="22" t="n"/>
      <c r="J796" s="22" t="n"/>
      <c r="K796" s="19" t="n"/>
      <c r="L796" s="19" t="n"/>
      <c r="M796" s="19" t="n"/>
      <c r="N796" s="19" t="n"/>
      <c r="O796" s="23">
        <f>IF(J796="","",H796+I796)</f>
        <v/>
      </c>
      <c r="P796" s="23">
        <f>IF(J796="","",J796-O796)</f>
        <v/>
      </c>
      <c r="Q796" s="24">
        <f>IF(OR(J796="",J796=0),"",P796/J796)</f>
        <v/>
      </c>
      <c r="R796" s="25">
        <f>IF(OR(A796="",B796=""),"",B796-A796)</f>
        <v/>
      </c>
      <c r="S796" s="26">
        <f>IF(B796="","",YEAR(B796))</f>
        <v/>
      </c>
      <c r="T796" s="27">
        <f>IF(B796="","",IF(OR(F796="Electric",F796="Plug-in",F796="Hibrid"),1,0))</f>
        <v/>
      </c>
    </row>
    <row r="797">
      <c r="A797" s="18" t="n"/>
      <c r="B797" s="18" t="n"/>
      <c r="C797" s="19" t="n"/>
      <c r="D797" s="19" t="n"/>
      <c r="E797" s="20" t="n"/>
      <c r="F797" s="19" t="n"/>
      <c r="G797" s="21" t="n"/>
      <c r="H797" s="22" t="n"/>
      <c r="I797" s="22" t="n"/>
      <c r="J797" s="22" t="n"/>
      <c r="K797" s="19" t="n"/>
      <c r="L797" s="19" t="n"/>
      <c r="M797" s="19" t="n"/>
      <c r="N797" s="19" t="n"/>
      <c r="O797" s="23">
        <f>IF(J797="","",H797+I797)</f>
        <v/>
      </c>
      <c r="P797" s="23">
        <f>IF(J797="","",J797-O797)</f>
        <v/>
      </c>
      <c r="Q797" s="24">
        <f>IF(OR(J797="",J797=0),"",P797/J797)</f>
        <v/>
      </c>
      <c r="R797" s="25">
        <f>IF(OR(A797="",B797=""),"",B797-A797)</f>
        <v/>
      </c>
      <c r="S797" s="26">
        <f>IF(B797="","",YEAR(B797))</f>
        <v/>
      </c>
      <c r="T797" s="27">
        <f>IF(B797="","",IF(OR(F797="Electric",F797="Plug-in",F797="Hibrid"),1,0))</f>
        <v/>
      </c>
    </row>
    <row r="798">
      <c r="A798" s="18" t="n"/>
      <c r="B798" s="18" t="n"/>
      <c r="C798" s="19" t="n"/>
      <c r="D798" s="19" t="n"/>
      <c r="E798" s="20" t="n"/>
      <c r="F798" s="19" t="n"/>
      <c r="G798" s="21" t="n"/>
      <c r="H798" s="22" t="n"/>
      <c r="I798" s="22" t="n"/>
      <c r="J798" s="22" t="n"/>
      <c r="K798" s="19" t="n"/>
      <c r="L798" s="19" t="n"/>
      <c r="M798" s="19" t="n"/>
      <c r="N798" s="19" t="n"/>
      <c r="O798" s="23">
        <f>IF(J798="","",H798+I798)</f>
        <v/>
      </c>
      <c r="P798" s="23">
        <f>IF(J798="","",J798-O798)</f>
        <v/>
      </c>
      <c r="Q798" s="24">
        <f>IF(OR(J798="",J798=0),"",P798/J798)</f>
        <v/>
      </c>
      <c r="R798" s="25">
        <f>IF(OR(A798="",B798=""),"",B798-A798)</f>
        <v/>
      </c>
      <c r="S798" s="26">
        <f>IF(B798="","",YEAR(B798))</f>
        <v/>
      </c>
      <c r="T798" s="27">
        <f>IF(B798="","",IF(OR(F798="Electric",F798="Plug-in",F798="Hibrid"),1,0))</f>
        <v/>
      </c>
    </row>
    <row r="799">
      <c r="A799" s="18" t="n"/>
      <c r="B799" s="18" t="n"/>
      <c r="C799" s="19" t="n"/>
      <c r="D799" s="19" t="n"/>
      <c r="E799" s="20" t="n"/>
      <c r="F799" s="19" t="n"/>
      <c r="G799" s="21" t="n"/>
      <c r="H799" s="22" t="n"/>
      <c r="I799" s="22" t="n"/>
      <c r="J799" s="22" t="n"/>
      <c r="K799" s="19" t="n"/>
      <c r="L799" s="19" t="n"/>
      <c r="M799" s="19" t="n"/>
      <c r="N799" s="19" t="n"/>
      <c r="O799" s="23">
        <f>IF(J799="","",H799+I799)</f>
        <v/>
      </c>
      <c r="P799" s="23">
        <f>IF(J799="","",J799-O799)</f>
        <v/>
      </c>
      <c r="Q799" s="24">
        <f>IF(OR(J799="",J799=0),"",P799/J799)</f>
        <v/>
      </c>
      <c r="R799" s="25">
        <f>IF(OR(A799="",B799=""),"",B799-A799)</f>
        <v/>
      </c>
      <c r="S799" s="26">
        <f>IF(B799="","",YEAR(B799))</f>
        <v/>
      </c>
      <c r="T799" s="27">
        <f>IF(B799="","",IF(OR(F799="Electric",F799="Plug-in",F799="Hibrid"),1,0))</f>
        <v/>
      </c>
    </row>
    <row r="800">
      <c r="A800" s="18" t="n"/>
      <c r="B800" s="18" t="n"/>
      <c r="C800" s="19" t="n"/>
      <c r="D800" s="19" t="n"/>
      <c r="E800" s="20" t="n"/>
      <c r="F800" s="19" t="n"/>
      <c r="G800" s="21" t="n"/>
      <c r="H800" s="22" t="n"/>
      <c r="I800" s="22" t="n"/>
      <c r="J800" s="22" t="n"/>
      <c r="K800" s="19" t="n"/>
      <c r="L800" s="19" t="n"/>
      <c r="M800" s="19" t="n"/>
      <c r="N800" s="19" t="n"/>
      <c r="O800" s="23">
        <f>IF(J800="","",H800+I800)</f>
        <v/>
      </c>
      <c r="P800" s="23">
        <f>IF(J800="","",J800-O800)</f>
        <v/>
      </c>
      <c r="Q800" s="24">
        <f>IF(OR(J800="",J800=0),"",P800/J800)</f>
        <v/>
      </c>
      <c r="R800" s="25">
        <f>IF(OR(A800="",B800=""),"",B800-A800)</f>
        <v/>
      </c>
      <c r="S800" s="26">
        <f>IF(B800="","",YEAR(B800))</f>
        <v/>
      </c>
      <c r="T800" s="27">
        <f>IF(B800="","",IF(OR(F800="Electric",F800="Plug-in",F800="Hibrid"),1,0))</f>
        <v/>
      </c>
    </row>
    <row r="801">
      <c r="A801" s="18" t="n"/>
      <c r="B801" s="18" t="n"/>
      <c r="C801" s="19" t="n"/>
      <c r="D801" s="19" t="n"/>
      <c r="E801" s="20" t="n"/>
      <c r="F801" s="19" t="n"/>
      <c r="G801" s="21" t="n"/>
      <c r="H801" s="22" t="n"/>
      <c r="I801" s="22" t="n"/>
      <c r="J801" s="22" t="n"/>
      <c r="K801" s="19" t="n"/>
      <c r="L801" s="19" t="n"/>
      <c r="M801" s="19" t="n"/>
      <c r="N801" s="19" t="n"/>
      <c r="O801" s="23">
        <f>IF(J801="","",H801+I801)</f>
        <v/>
      </c>
      <c r="P801" s="23">
        <f>IF(J801="","",J801-O801)</f>
        <v/>
      </c>
      <c r="Q801" s="24">
        <f>IF(OR(J801="",J801=0),"",P801/J801)</f>
        <v/>
      </c>
      <c r="R801" s="25">
        <f>IF(OR(A801="",B801=""),"",B801-A801)</f>
        <v/>
      </c>
      <c r="S801" s="26">
        <f>IF(B801="","",YEAR(B801))</f>
        <v/>
      </c>
      <c r="T801" s="27">
        <f>IF(B801="","",IF(OR(F801="Electric",F801="Plug-in",F801="Hibrid"),1,0))</f>
        <v/>
      </c>
    </row>
    <row r="802">
      <c r="A802" s="18" t="n"/>
      <c r="B802" s="18" t="n"/>
      <c r="C802" s="19" t="n"/>
      <c r="D802" s="19" t="n"/>
      <c r="E802" s="20" t="n"/>
      <c r="F802" s="19" t="n"/>
      <c r="G802" s="21" t="n"/>
      <c r="H802" s="22" t="n"/>
      <c r="I802" s="22" t="n"/>
      <c r="J802" s="22" t="n"/>
      <c r="K802" s="19" t="n"/>
      <c r="L802" s="19" t="n"/>
      <c r="M802" s="19" t="n"/>
      <c r="N802" s="19" t="n"/>
      <c r="O802" s="23">
        <f>IF(J802="","",H802+I802)</f>
        <v/>
      </c>
      <c r="P802" s="23">
        <f>IF(J802="","",J802-O802)</f>
        <v/>
      </c>
      <c r="Q802" s="24">
        <f>IF(OR(J802="",J802=0),"",P802/J802)</f>
        <v/>
      </c>
      <c r="R802" s="25">
        <f>IF(OR(A802="",B802=""),"",B802-A802)</f>
        <v/>
      </c>
      <c r="S802" s="26">
        <f>IF(B802="","",YEAR(B802))</f>
        <v/>
      </c>
      <c r="T802" s="27">
        <f>IF(B802="","",IF(OR(F802="Electric",F802="Plug-in",F802="Hibrid"),1,0))</f>
        <v/>
      </c>
    </row>
    <row r="803">
      <c r="A803" s="18" t="n"/>
      <c r="B803" s="18" t="n"/>
      <c r="C803" s="19" t="n"/>
      <c r="D803" s="19" t="n"/>
      <c r="E803" s="20" t="n"/>
      <c r="F803" s="19" t="n"/>
      <c r="G803" s="21" t="n"/>
      <c r="H803" s="22" t="n"/>
      <c r="I803" s="22" t="n"/>
      <c r="J803" s="22" t="n"/>
      <c r="K803" s="19" t="n"/>
      <c r="L803" s="19" t="n"/>
      <c r="M803" s="19" t="n"/>
      <c r="N803" s="19" t="n"/>
      <c r="O803" s="23">
        <f>IF(J803="","",H803+I803)</f>
        <v/>
      </c>
      <c r="P803" s="23">
        <f>IF(J803="","",J803-O803)</f>
        <v/>
      </c>
      <c r="Q803" s="24">
        <f>IF(OR(J803="",J803=0),"",P803/J803)</f>
        <v/>
      </c>
      <c r="R803" s="25">
        <f>IF(OR(A803="",B803=""),"",B803-A803)</f>
        <v/>
      </c>
      <c r="S803" s="26">
        <f>IF(B803="","",YEAR(B803))</f>
        <v/>
      </c>
      <c r="T803" s="27">
        <f>IF(B803="","",IF(OR(F803="Electric",F803="Plug-in",F803="Hibrid"),1,0))</f>
        <v/>
      </c>
    </row>
    <row r="804">
      <c r="A804" s="18" t="n"/>
      <c r="B804" s="18" t="n"/>
      <c r="C804" s="19" t="n"/>
      <c r="D804" s="19" t="n"/>
      <c r="E804" s="20" t="n"/>
      <c r="F804" s="19" t="n"/>
      <c r="G804" s="21" t="n"/>
      <c r="H804" s="22" t="n"/>
      <c r="I804" s="22" t="n"/>
      <c r="J804" s="22" t="n"/>
      <c r="K804" s="19" t="n"/>
      <c r="L804" s="19" t="n"/>
      <c r="M804" s="19" t="n"/>
      <c r="N804" s="19" t="n"/>
      <c r="O804" s="23">
        <f>IF(J804="","",H804+I804)</f>
        <v/>
      </c>
      <c r="P804" s="23">
        <f>IF(J804="","",J804-O804)</f>
        <v/>
      </c>
      <c r="Q804" s="24">
        <f>IF(OR(J804="",J804=0),"",P804/J804)</f>
        <v/>
      </c>
      <c r="R804" s="25">
        <f>IF(OR(A804="",B804=""),"",B804-A804)</f>
        <v/>
      </c>
      <c r="S804" s="26">
        <f>IF(B804="","",YEAR(B804))</f>
        <v/>
      </c>
      <c r="T804" s="27">
        <f>IF(B804="","",IF(OR(F804="Electric",F804="Plug-in",F804="Hibrid"),1,0))</f>
        <v/>
      </c>
    </row>
    <row r="805">
      <c r="A805" s="18" t="n"/>
      <c r="B805" s="18" t="n"/>
      <c r="C805" s="19" t="n"/>
      <c r="D805" s="19" t="n"/>
      <c r="E805" s="20" t="n"/>
      <c r="F805" s="19" t="n"/>
      <c r="G805" s="21" t="n"/>
      <c r="H805" s="22" t="n"/>
      <c r="I805" s="22" t="n"/>
      <c r="J805" s="22" t="n"/>
      <c r="K805" s="19" t="n"/>
      <c r="L805" s="19" t="n"/>
      <c r="M805" s="19" t="n"/>
      <c r="N805" s="19" t="n"/>
      <c r="O805" s="23">
        <f>IF(J805="","",H805+I805)</f>
        <v/>
      </c>
      <c r="P805" s="23">
        <f>IF(J805="","",J805-O805)</f>
        <v/>
      </c>
      <c r="Q805" s="24">
        <f>IF(OR(J805="",J805=0),"",P805/J805)</f>
        <v/>
      </c>
      <c r="R805" s="25">
        <f>IF(OR(A805="",B805=""),"",B805-A805)</f>
        <v/>
      </c>
      <c r="S805" s="26">
        <f>IF(B805="","",YEAR(B805))</f>
        <v/>
      </c>
      <c r="T805" s="27">
        <f>IF(B805="","",IF(OR(F805="Electric",F805="Plug-in",F805="Hibrid"),1,0))</f>
        <v/>
      </c>
    </row>
    <row r="806">
      <c r="A806" s="18" t="n"/>
      <c r="B806" s="18" t="n"/>
      <c r="C806" s="19" t="n"/>
      <c r="D806" s="19" t="n"/>
      <c r="E806" s="20" t="n"/>
      <c r="F806" s="19" t="n"/>
      <c r="G806" s="21" t="n"/>
      <c r="H806" s="22" t="n"/>
      <c r="I806" s="22" t="n"/>
      <c r="J806" s="22" t="n"/>
      <c r="K806" s="19" t="n"/>
      <c r="L806" s="19" t="n"/>
      <c r="M806" s="19" t="n"/>
      <c r="N806" s="19" t="n"/>
      <c r="O806" s="23">
        <f>IF(J806="","",H806+I806)</f>
        <v/>
      </c>
      <c r="P806" s="23">
        <f>IF(J806="","",J806-O806)</f>
        <v/>
      </c>
      <c r="Q806" s="24">
        <f>IF(OR(J806="",J806=0),"",P806/J806)</f>
        <v/>
      </c>
      <c r="R806" s="25">
        <f>IF(OR(A806="",B806=""),"",B806-A806)</f>
        <v/>
      </c>
      <c r="S806" s="26">
        <f>IF(B806="","",YEAR(B806))</f>
        <v/>
      </c>
      <c r="T806" s="27">
        <f>IF(B806="","",IF(OR(F806="Electric",F806="Plug-in",F806="Hibrid"),1,0))</f>
        <v/>
      </c>
    </row>
    <row r="807">
      <c r="A807" s="18" t="n"/>
      <c r="B807" s="18" t="n"/>
      <c r="C807" s="19" t="n"/>
      <c r="D807" s="19" t="n"/>
      <c r="E807" s="20" t="n"/>
      <c r="F807" s="19" t="n"/>
      <c r="G807" s="21" t="n"/>
      <c r="H807" s="22" t="n"/>
      <c r="I807" s="22" t="n"/>
      <c r="J807" s="22" t="n"/>
      <c r="K807" s="19" t="n"/>
      <c r="L807" s="19" t="n"/>
      <c r="M807" s="19" t="n"/>
      <c r="N807" s="19" t="n"/>
      <c r="O807" s="23">
        <f>IF(J807="","",H807+I807)</f>
        <v/>
      </c>
      <c r="P807" s="23">
        <f>IF(J807="","",J807-O807)</f>
        <v/>
      </c>
      <c r="Q807" s="24">
        <f>IF(OR(J807="",J807=0),"",P807/J807)</f>
        <v/>
      </c>
      <c r="R807" s="25">
        <f>IF(OR(A807="",B807=""),"",B807-A807)</f>
        <v/>
      </c>
      <c r="S807" s="26">
        <f>IF(B807="","",YEAR(B807))</f>
        <v/>
      </c>
      <c r="T807" s="27">
        <f>IF(B807="","",IF(OR(F807="Electric",F807="Plug-in",F807="Hibrid"),1,0))</f>
        <v/>
      </c>
    </row>
    <row r="808">
      <c r="A808" s="18" t="n"/>
      <c r="B808" s="18" t="n"/>
      <c r="C808" s="19" t="n"/>
      <c r="D808" s="19" t="n"/>
      <c r="E808" s="20" t="n"/>
      <c r="F808" s="19" t="n"/>
      <c r="G808" s="21" t="n"/>
      <c r="H808" s="22" t="n"/>
      <c r="I808" s="22" t="n"/>
      <c r="J808" s="22" t="n"/>
      <c r="K808" s="19" t="n"/>
      <c r="L808" s="19" t="n"/>
      <c r="M808" s="19" t="n"/>
      <c r="N808" s="19" t="n"/>
      <c r="O808" s="23">
        <f>IF(J808="","",H808+I808)</f>
        <v/>
      </c>
      <c r="P808" s="23">
        <f>IF(J808="","",J808-O808)</f>
        <v/>
      </c>
      <c r="Q808" s="24">
        <f>IF(OR(J808="",J808=0),"",P808/J808)</f>
        <v/>
      </c>
      <c r="R808" s="25">
        <f>IF(OR(A808="",B808=""),"",B808-A808)</f>
        <v/>
      </c>
      <c r="S808" s="26">
        <f>IF(B808="","",YEAR(B808))</f>
        <v/>
      </c>
      <c r="T808" s="27">
        <f>IF(B808="","",IF(OR(F808="Electric",F808="Plug-in",F808="Hibrid"),1,0))</f>
        <v/>
      </c>
    </row>
    <row r="809">
      <c r="A809" s="18" t="n"/>
      <c r="B809" s="18" t="n"/>
      <c r="C809" s="19" t="n"/>
      <c r="D809" s="19" t="n"/>
      <c r="E809" s="20" t="n"/>
      <c r="F809" s="19" t="n"/>
      <c r="G809" s="21" t="n"/>
      <c r="H809" s="22" t="n"/>
      <c r="I809" s="22" t="n"/>
      <c r="J809" s="22" t="n"/>
      <c r="K809" s="19" t="n"/>
      <c r="L809" s="19" t="n"/>
      <c r="M809" s="19" t="n"/>
      <c r="N809" s="19" t="n"/>
      <c r="O809" s="23">
        <f>IF(J809="","",H809+I809)</f>
        <v/>
      </c>
      <c r="P809" s="23">
        <f>IF(J809="","",J809-O809)</f>
        <v/>
      </c>
      <c r="Q809" s="24">
        <f>IF(OR(J809="",J809=0),"",P809/J809)</f>
        <v/>
      </c>
      <c r="R809" s="25">
        <f>IF(OR(A809="",B809=""),"",B809-A809)</f>
        <v/>
      </c>
      <c r="S809" s="26">
        <f>IF(B809="","",YEAR(B809))</f>
        <v/>
      </c>
      <c r="T809" s="27">
        <f>IF(B809="","",IF(OR(F809="Electric",F809="Plug-in",F809="Hibrid"),1,0))</f>
        <v/>
      </c>
    </row>
    <row r="810">
      <c r="A810" s="18" t="n"/>
      <c r="B810" s="18" t="n"/>
      <c r="C810" s="19" t="n"/>
      <c r="D810" s="19" t="n"/>
      <c r="E810" s="20" t="n"/>
      <c r="F810" s="19" t="n"/>
      <c r="G810" s="21" t="n"/>
      <c r="H810" s="22" t="n"/>
      <c r="I810" s="22" t="n"/>
      <c r="J810" s="22" t="n"/>
      <c r="K810" s="19" t="n"/>
      <c r="L810" s="19" t="n"/>
      <c r="M810" s="19" t="n"/>
      <c r="N810" s="19" t="n"/>
      <c r="O810" s="23">
        <f>IF(J810="","",H810+I810)</f>
        <v/>
      </c>
      <c r="P810" s="23">
        <f>IF(J810="","",J810-O810)</f>
        <v/>
      </c>
      <c r="Q810" s="24">
        <f>IF(OR(J810="",J810=0),"",P810/J810)</f>
        <v/>
      </c>
      <c r="R810" s="25">
        <f>IF(OR(A810="",B810=""),"",B810-A810)</f>
        <v/>
      </c>
      <c r="S810" s="26">
        <f>IF(B810="","",YEAR(B810))</f>
        <v/>
      </c>
      <c r="T810" s="27">
        <f>IF(B810="","",IF(OR(F810="Electric",F810="Plug-in",F810="Hibrid"),1,0))</f>
        <v/>
      </c>
    </row>
    <row r="811">
      <c r="A811" s="18" t="n"/>
      <c r="B811" s="18" t="n"/>
      <c r="C811" s="19" t="n"/>
      <c r="D811" s="19" t="n"/>
      <c r="E811" s="20" t="n"/>
      <c r="F811" s="19" t="n"/>
      <c r="G811" s="21" t="n"/>
      <c r="H811" s="22" t="n"/>
      <c r="I811" s="22" t="n"/>
      <c r="J811" s="22" t="n"/>
      <c r="K811" s="19" t="n"/>
      <c r="L811" s="19" t="n"/>
      <c r="M811" s="19" t="n"/>
      <c r="N811" s="19" t="n"/>
      <c r="O811" s="23">
        <f>IF(J811="","",H811+I811)</f>
        <v/>
      </c>
      <c r="P811" s="23">
        <f>IF(J811="","",J811-O811)</f>
        <v/>
      </c>
      <c r="Q811" s="24">
        <f>IF(OR(J811="",J811=0),"",P811/J811)</f>
        <v/>
      </c>
      <c r="R811" s="25">
        <f>IF(OR(A811="",B811=""),"",B811-A811)</f>
        <v/>
      </c>
      <c r="S811" s="26">
        <f>IF(B811="","",YEAR(B811))</f>
        <v/>
      </c>
      <c r="T811" s="27">
        <f>IF(B811="","",IF(OR(F811="Electric",F811="Plug-in",F811="Hibrid"),1,0))</f>
        <v/>
      </c>
    </row>
    <row r="812">
      <c r="A812" s="18" t="n"/>
      <c r="B812" s="18" t="n"/>
      <c r="C812" s="19" t="n"/>
      <c r="D812" s="19" t="n"/>
      <c r="E812" s="20" t="n"/>
      <c r="F812" s="19" t="n"/>
      <c r="G812" s="21" t="n"/>
      <c r="H812" s="22" t="n"/>
      <c r="I812" s="22" t="n"/>
      <c r="J812" s="22" t="n"/>
      <c r="K812" s="19" t="n"/>
      <c r="L812" s="19" t="n"/>
      <c r="M812" s="19" t="n"/>
      <c r="N812" s="19" t="n"/>
      <c r="O812" s="23">
        <f>IF(J812="","",H812+I812)</f>
        <v/>
      </c>
      <c r="P812" s="23">
        <f>IF(J812="","",J812-O812)</f>
        <v/>
      </c>
      <c r="Q812" s="24">
        <f>IF(OR(J812="",J812=0),"",P812/J812)</f>
        <v/>
      </c>
      <c r="R812" s="25">
        <f>IF(OR(A812="",B812=""),"",B812-A812)</f>
        <v/>
      </c>
      <c r="S812" s="26">
        <f>IF(B812="","",YEAR(B812))</f>
        <v/>
      </c>
      <c r="T812" s="27">
        <f>IF(B812="","",IF(OR(F812="Electric",F812="Plug-in",F812="Hibrid"),1,0))</f>
        <v/>
      </c>
    </row>
    <row r="813">
      <c r="A813" s="18" t="n"/>
      <c r="B813" s="18" t="n"/>
      <c r="C813" s="19" t="n"/>
      <c r="D813" s="19" t="n"/>
      <c r="E813" s="20" t="n"/>
      <c r="F813" s="19" t="n"/>
      <c r="G813" s="21" t="n"/>
      <c r="H813" s="22" t="n"/>
      <c r="I813" s="22" t="n"/>
      <c r="J813" s="22" t="n"/>
      <c r="K813" s="19" t="n"/>
      <c r="L813" s="19" t="n"/>
      <c r="M813" s="19" t="n"/>
      <c r="N813" s="19" t="n"/>
      <c r="O813" s="23">
        <f>IF(J813="","",H813+I813)</f>
        <v/>
      </c>
      <c r="P813" s="23">
        <f>IF(J813="","",J813-O813)</f>
        <v/>
      </c>
      <c r="Q813" s="24">
        <f>IF(OR(J813="",J813=0),"",P813/J813)</f>
        <v/>
      </c>
      <c r="R813" s="25">
        <f>IF(OR(A813="",B813=""),"",B813-A813)</f>
        <v/>
      </c>
      <c r="S813" s="26">
        <f>IF(B813="","",YEAR(B813))</f>
        <v/>
      </c>
      <c r="T813" s="27">
        <f>IF(B813="","",IF(OR(F813="Electric",F813="Plug-in",F813="Hibrid"),1,0))</f>
        <v/>
      </c>
    </row>
    <row r="814">
      <c r="A814" s="18" t="n"/>
      <c r="B814" s="18" t="n"/>
      <c r="C814" s="19" t="n"/>
      <c r="D814" s="19" t="n"/>
      <c r="E814" s="20" t="n"/>
      <c r="F814" s="19" t="n"/>
      <c r="G814" s="21" t="n"/>
      <c r="H814" s="22" t="n"/>
      <c r="I814" s="22" t="n"/>
      <c r="J814" s="22" t="n"/>
      <c r="K814" s="19" t="n"/>
      <c r="L814" s="19" t="n"/>
      <c r="M814" s="19" t="n"/>
      <c r="N814" s="19" t="n"/>
      <c r="O814" s="23">
        <f>IF(J814="","",H814+I814)</f>
        <v/>
      </c>
      <c r="P814" s="23">
        <f>IF(J814="","",J814-O814)</f>
        <v/>
      </c>
      <c r="Q814" s="24">
        <f>IF(OR(J814="",J814=0),"",P814/J814)</f>
        <v/>
      </c>
      <c r="R814" s="25">
        <f>IF(OR(A814="",B814=""),"",B814-A814)</f>
        <v/>
      </c>
      <c r="S814" s="26">
        <f>IF(B814="","",YEAR(B814))</f>
        <v/>
      </c>
      <c r="T814" s="27">
        <f>IF(B814="","",IF(OR(F814="Electric",F814="Plug-in",F814="Hibrid"),1,0))</f>
        <v/>
      </c>
    </row>
    <row r="815">
      <c r="A815" s="18" t="n"/>
      <c r="B815" s="18" t="n"/>
      <c r="C815" s="19" t="n"/>
      <c r="D815" s="19" t="n"/>
      <c r="E815" s="20" t="n"/>
      <c r="F815" s="19" t="n"/>
      <c r="G815" s="21" t="n"/>
      <c r="H815" s="22" t="n"/>
      <c r="I815" s="22" t="n"/>
      <c r="J815" s="22" t="n"/>
      <c r="K815" s="19" t="n"/>
      <c r="L815" s="19" t="n"/>
      <c r="M815" s="19" t="n"/>
      <c r="N815" s="19" t="n"/>
      <c r="O815" s="23">
        <f>IF(J815="","",H815+I815)</f>
        <v/>
      </c>
      <c r="P815" s="23">
        <f>IF(J815="","",J815-O815)</f>
        <v/>
      </c>
      <c r="Q815" s="24">
        <f>IF(OR(J815="",J815=0),"",P815/J815)</f>
        <v/>
      </c>
      <c r="R815" s="25">
        <f>IF(OR(A815="",B815=""),"",B815-A815)</f>
        <v/>
      </c>
      <c r="S815" s="26">
        <f>IF(B815="","",YEAR(B815))</f>
        <v/>
      </c>
      <c r="T815" s="27">
        <f>IF(B815="","",IF(OR(F815="Electric",F815="Plug-in",F815="Hibrid"),1,0))</f>
        <v/>
      </c>
    </row>
    <row r="816">
      <c r="A816" s="18" t="n"/>
      <c r="B816" s="18" t="n"/>
      <c r="C816" s="19" t="n"/>
      <c r="D816" s="19" t="n"/>
      <c r="E816" s="20" t="n"/>
      <c r="F816" s="19" t="n"/>
      <c r="G816" s="21" t="n"/>
      <c r="H816" s="22" t="n"/>
      <c r="I816" s="22" t="n"/>
      <c r="J816" s="22" t="n"/>
      <c r="K816" s="19" t="n"/>
      <c r="L816" s="19" t="n"/>
      <c r="M816" s="19" t="n"/>
      <c r="N816" s="19" t="n"/>
      <c r="O816" s="23">
        <f>IF(J816="","",H816+I816)</f>
        <v/>
      </c>
      <c r="P816" s="23">
        <f>IF(J816="","",J816-O816)</f>
        <v/>
      </c>
      <c r="Q816" s="24">
        <f>IF(OR(J816="",J816=0),"",P816/J816)</f>
        <v/>
      </c>
      <c r="R816" s="25">
        <f>IF(OR(A816="",B816=""),"",B816-A816)</f>
        <v/>
      </c>
      <c r="S816" s="26">
        <f>IF(B816="","",YEAR(B816))</f>
        <v/>
      </c>
      <c r="T816" s="27">
        <f>IF(B816="","",IF(OR(F816="Electric",F816="Plug-in",F816="Hibrid"),1,0))</f>
        <v/>
      </c>
    </row>
    <row r="817">
      <c r="A817" s="18" t="n"/>
      <c r="B817" s="18" t="n"/>
      <c r="C817" s="19" t="n"/>
      <c r="D817" s="19" t="n"/>
      <c r="E817" s="20" t="n"/>
      <c r="F817" s="19" t="n"/>
      <c r="G817" s="21" t="n"/>
      <c r="H817" s="22" t="n"/>
      <c r="I817" s="22" t="n"/>
      <c r="J817" s="22" t="n"/>
      <c r="K817" s="19" t="n"/>
      <c r="L817" s="19" t="n"/>
      <c r="M817" s="19" t="n"/>
      <c r="N817" s="19" t="n"/>
      <c r="O817" s="23">
        <f>IF(J817="","",H817+I817)</f>
        <v/>
      </c>
      <c r="P817" s="23">
        <f>IF(J817="","",J817-O817)</f>
        <v/>
      </c>
      <c r="Q817" s="24">
        <f>IF(OR(J817="",J817=0),"",P817/J817)</f>
        <v/>
      </c>
      <c r="R817" s="25">
        <f>IF(OR(A817="",B817=""),"",B817-A817)</f>
        <v/>
      </c>
      <c r="S817" s="26">
        <f>IF(B817="","",YEAR(B817))</f>
        <v/>
      </c>
      <c r="T817" s="27">
        <f>IF(B817="","",IF(OR(F817="Electric",F817="Plug-in",F817="Hibrid"),1,0))</f>
        <v/>
      </c>
    </row>
    <row r="818">
      <c r="A818" s="18" t="n"/>
      <c r="B818" s="18" t="n"/>
      <c r="C818" s="19" t="n"/>
      <c r="D818" s="19" t="n"/>
      <c r="E818" s="20" t="n"/>
      <c r="F818" s="19" t="n"/>
      <c r="G818" s="21" t="n"/>
      <c r="H818" s="22" t="n"/>
      <c r="I818" s="22" t="n"/>
      <c r="J818" s="22" t="n"/>
      <c r="K818" s="19" t="n"/>
      <c r="L818" s="19" t="n"/>
      <c r="M818" s="19" t="n"/>
      <c r="N818" s="19" t="n"/>
      <c r="O818" s="23">
        <f>IF(J818="","",H818+I818)</f>
        <v/>
      </c>
      <c r="P818" s="23">
        <f>IF(J818="","",J818-O818)</f>
        <v/>
      </c>
      <c r="Q818" s="24">
        <f>IF(OR(J818="",J818=0),"",P818/J818)</f>
        <v/>
      </c>
      <c r="R818" s="25">
        <f>IF(OR(A818="",B818=""),"",B818-A818)</f>
        <v/>
      </c>
      <c r="S818" s="26">
        <f>IF(B818="","",YEAR(B818))</f>
        <v/>
      </c>
      <c r="T818" s="27">
        <f>IF(B818="","",IF(OR(F818="Electric",F818="Plug-in",F818="Hibrid"),1,0))</f>
        <v/>
      </c>
    </row>
    <row r="819">
      <c r="A819" s="18" t="n"/>
      <c r="B819" s="18" t="n"/>
      <c r="C819" s="19" t="n"/>
      <c r="D819" s="19" t="n"/>
      <c r="E819" s="20" t="n"/>
      <c r="F819" s="19" t="n"/>
      <c r="G819" s="21" t="n"/>
      <c r="H819" s="22" t="n"/>
      <c r="I819" s="22" t="n"/>
      <c r="J819" s="22" t="n"/>
      <c r="K819" s="19" t="n"/>
      <c r="L819" s="19" t="n"/>
      <c r="M819" s="19" t="n"/>
      <c r="N819" s="19" t="n"/>
      <c r="O819" s="23">
        <f>IF(J819="","",H819+I819)</f>
        <v/>
      </c>
      <c r="P819" s="23">
        <f>IF(J819="","",J819-O819)</f>
        <v/>
      </c>
      <c r="Q819" s="24">
        <f>IF(OR(J819="",J819=0),"",P819/J819)</f>
        <v/>
      </c>
      <c r="R819" s="25">
        <f>IF(OR(A819="",B819=""),"",B819-A819)</f>
        <v/>
      </c>
      <c r="S819" s="26">
        <f>IF(B819="","",YEAR(B819))</f>
        <v/>
      </c>
      <c r="T819" s="27">
        <f>IF(B819="","",IF(OR(F819="Electric",F819="Plug-in",F819="Hibrid"),1,0))</f>
        <v/>
      </c>
    </row>
    <row r="820">
      <c r="A820" s="18" t="n"/>
      <c r="B820" s="18" t="n"/>
      <c r="C820" s="19" t="n"/>
      <c r="D820" s="19" t="n"/>
      <c r="E820" s="20" t="n"/>
      <c r="F820" s="19" t="n"/>
      <c r="G820" s="21" t="n"/>
      <c r="H820" s="22" t="n"/>
      <c r="I820" s="22" t="n"/>
      <c r="J820" s="22" t="n"/>
      <c r="K820" s="19" t="n"/>
      <c r="L820" s="19" t="n"/>
      <c r="M820" s="19" t="n"/>
      <c r="N820" s="19" t="n"/>
      <c r="O820" s="23">
        <f>IF(J820="","",H820+I820)</f>
        <v/>
      </c>
      <c r="P820" s="23">
        <f>IF(J820="","",J820-O820)</f>
        <v/>
      </c>
      <c r="Q820" s="24">
        <f>IF(OR(J820="",J820=0),"",P820/J820)</f>
        <v/>
      </c>
      <c r="R820" s="25">
        <f>IF(OR(A820="",B820=""),"",B820-A820)</f>
        <v/>
      </c>
      <c r="S820" s="26">
        <f>IF(B820="","",YEAR(B820))</f>
        <v/>
      </c>
      <c r="T820" s="27">
        <f>IF(B820="","",IF(OR(F820="Electric",F820="Plug-in",F820="Hibrid"),1,0))</f>
        <v/>
      </c>
    </row>
    <row r="821">
      <c r="A821" s="18" t="n"/>
      <c r="B821" s="18" t="n"/>
      <c r="C821" s="19" t="n"/>
      <c r="D821" s="19" t="n"/>
      <c r="E821" s="20" t="n"/>
      <c r="F821" s="19" t="n"/>
      <c r="G821" s="21" t="n"/>
      <c r="H821" s="22" t="n"/>
      <c r="I821" s="22" t="n"/>
      <c r="J821" s="22" t="n"/>
      <c r="K821" s="19" t="n"/>
      <c r="L821" s="19" t="n"/>
      <c r="M821" s="19" t="n"/>
      <c r="N821" s="19" t="n"/>
      <c r="O821" s="23">
        <f>IF(J821="","",H821+I821)</f>
        <v/>
      </c>
      <c r="P821" s="23">
        <f>IF(J821="","",J821-O821)</f>
        <v/>
      </c>
      <c r="Q821" s="24">
        <f>IF(OR(J821="",J821=0),"",P821/J821)</f>
        <v/>
      </c>
      <c r="R821" s="25">
        <f>IF(OR(A821="",B821=""),"",B821-A821)</f>
        <v/>
      </c>
      <c r="S821" s="26">
        <f>IF(B821="","",YEAR(B821))</f>
        <v/>
      </c>
      <c r="T821" s="27">
        <f>IF(B821="","",IF(OR(F821="Electric",F821="Plug-in",F821="Hibrid"),1,0))</f>
        <v/>
      </c>
    </row>
    <row r="822">
      <c r="A822" s="18" t="n"/>
      <c r="B822" s="18" t="n"/>
      <c r="C822" s="19" t="n"/>
      <c r="D822" s="19" t="n"/>
      <c r="E822" s="20" t="n"/>
      <c r="F822" s="19" t="n"/>
      <c r="G822" s="21" t="n"/>
      <c r="H822" s="22" t="n"/>
      <c r="I822" s="22" t="n"/>
      <c r="J822" s="22" t="n"/>
      <c r="K822" s="19" t="n"/>
      <c r="L822" s="19" t="n"/>
      <c r="M822" s="19" t="n"/>
      <c r="N822" s="19" t="n"/>
      <c r="O822" s="23">
        <f>IF(J822="","",H822+I822)</f>
        <v/>
      </c>
      <c r="P822" s="23">
        <f>IF(J822="","",J822-O822)</f>
        <v/>
      </c>
      <c r="Q822" s="24">
        <f>IF(OR(J822="",J822=0),"",P822/J822)</f>
        <v/>
      </c>
      <c r="R822" s="25">
        <f>IF(OR(A822="",B822=""),"",B822-A822)</f>
        <v/>
      </c>
      <c r="S822" s="26">
        <f>IF(B822="","",YEAR(B822))</f>
        <v/>
      </c>
      <c r="T822" s="27">
        <f>IF(B822="","",IF(OR(F822="Electric",F822="Plug-in",F822="Hibrid"),1,0))</f>
        <v/>
      </c>
    </row>
    <row r="823">
      <c r="A823" s="18" t="n"/>
      <c r="B823" s="18" t="n"/>
      <c r="C823" s="19" t="n"/>
      <c r="D823" s="19" t="n"/>
      <c r="E823" s="20" t="n"/>
      <c r="F823" s="19" t="n"/>
      <c r="G823" s="21" t="n"/>
      <c r="H823" s="22" t="n"/>
      <c r="I823" s="22" t="n"/>
      <c r="J823" s="22" t="n"/>
      <c r="K823" s="19" t="n"/>
      <c r="L823" s="19" t="n"/>
      <c r="M823" s="19" t="n"/>
      <c r="N823" s="19" t="n"/>
      <c r="O823" s="23">
        <f>IF(J823="","",H823+I823)</f>
        <v/>
      </c>
      <c r="P823" s="23">
        <f>IF(J823="","",J823-O823)</f>
        <v/>
      </c>
      <c r="Q823" s="24">
        <f>IF(OR(J823="",J823=0),"",P823/J823)</f>
        <v/>
      </c>
      <c r="R823" s="25">
        <f>IF(OR(A823="",B823=""),"",B823-A823)</f>
        <v/>
      </c>
      <c r="S823" s="26">
        <f>IF(B823="","",YEAR(B823))</f>
        <v/>
      </c>
      <c r="T823" s="27">
        <f>IF(B823="","",IF(OR(F823="Electric",F823="Plug-in",F823="Hibrid"),1,0))</f>
        <v/>
      </c>
    </row>
    <row r="824">
      <c r="A824" s="18" t="n"/>
      <c r="B824" s="18" t="n"/>
      <c r="C824" s="19" t="n"/>
      <c r="D824" s="19" t="n"/>
      <c r="E824" s="20" t="n"/>
      <c r="F824" s="19" t="n"/>
      <c r="G824" s="21" t="n"/>
      <c r="H824" s="22" t="n"/>
      <c r="I824" s="22" t="n"/>
      <c r="J824" s="22" t="n"/>
      <c r="K824" s="19" t="n"/>
      <c r="L824" s="19" t="n"/>
      <c r="M824" s="19" t="n"/>
      <c r="N824" s="19" t="n"/>
      <c r="O824" s="23">
        <f>IF(J824="","",H824+I824)</f>
        <v/>
      </c>
      <c r="P824" s="23">
        <f>IF(J824="","",J824-O824)</f>
        <v/>
      </c>
      <c r="Q824" s="24">
        <f>IF(OR(J824="",J824=0),"",P824/J824)</f>
        <v/>
      </c>
      <c r="R824" s="25">
        <f>IF(OR(A824="",B824=""),"",B824-A824)</f>
        <v/>
      </c>
      <c r="S824" s="26">
        <f>IF(B824="","",YEAR(B824))</f>
        <v/>
      </c>
      <c r="T824" s="27">
        <f>IF(B824="","",IF(OR(F824="Electric",F824="Plug-in",F824="Hibrid"),1,0))</f>
        <v/>
      </c>
    </row>
    <row r="825">
      <c r="A825" s="18" t="n"/>
      <c r="B825" s="18" t="n"/>
      <c r="C825" s="19" t="n"/>
      <c r="D825" s="19" t="n"/>
      <c r="E825" s="20" t="n"/>
      <c r="F825" s="19" t="n"/>
      <c r="G825" s="21" t="n"/>
      <c r="H825" s="22" t="n"/>
      <c r="I825" s="22" t="n"/>
      <c r="J825" s="22" t="n"/>
      <c r="K825" s="19" t="n"/>
      <c r="L825" s="19" t="n"/>
      <c r="M825" s="19" t="n"/>
      <c r="N825" s="19" t="n"/>
      <c r="O825" s="23">
        <f>IF(J825="","",H825+I825)</f>
        <v/>
      </c>
      <c r="P825" s="23">
        <f>IF(J825="","",J825-O825)</f>
        <v/>
      </c>
      <c r="Q825" s="24">
        <f>IF(OR(J825="",J825=0),"",P825/J825)</f>
        <v/>
      </c>
      <c r="R825" s="25">
        <f>IF(OR(A825="",B825=""),"",B825-A825)</f>
        <v/>
      </c>
      <c r="S825" s="26">
        <f>IF(B825="","",YEAR(B825))</f>
        <v/>
      </c>
      <c r="T825" s="27">
        <f>IF(B825="","",IF(OR(F825="Electric",F825="Plug-in",F825="Hibrid"),1,0))</f>
        <v/>
      </c>
    </row>
    <row r="826">
      <c r="A826" s="18" t="n"/>
      <c r="B826" s="18" t="n"/>
      <c r="C826" s="19" t="n"/>
      <c r="D826" s="19" t="n"/>
      <c r="E826" s="20" t="n"/>
      <c r="F826" s="19" t="n"/>
      <c r="G826" s="21" t="n"/>
      <c r="H826" s="22" t="n"/>
      <c r="I826" s="22" t="n"/>
      <c r="J826" s="22" t="n"/>
      <c r="K826" s="19" t="n"/>
      <c r="L826" s="19" t="n"/>
      <c r="M826" s="19" t="n"/>
      <c r="N826" s="19" t="n"/>
      <c r="O826" s="23">
        <f>IF(J826="","",H826+I826)</f>
        <v/>
      </c>
      <c r="P826" s="23">
        <f>IF(J826="","",J826-O826)</f>
        <v/>
      </c>
      <c r="Q826" s="24">
        <f>IF(OR(J826="",J826=0),"",P826/J826)</f>
        <v/>
      </c>
      <c r="R826" s="25">
        <f>IF(OR(A826="",B826=""),"",B826-A826)</f>
        <v/>
      </c>
      <c r="S826" s="26">
        <f>IF(B826="","",YEAR(B826))</f>
        <v/>
      </c>
      <c r="T826" s="27">
        <f>IF(B826="","",IF(OR(F826="Electric",F826="Plug-in",F826="Hibrid"),1,0))</f>
        <v/>
      </c>
    </row>
    <row r="827">
      <c r="A827" s="18" t="n"/>
      <c r="B827" s="18" t="n"/>
      <c r="C827" s="19" t="n"/>
      <c r="D827" s="19" t="n"/>
      <c r="E827" s="20" t="n"/>
      <c r="F827" s="19" t="n"/>
      <c r="G827" s="21" t="n"/>
      <c r="H827" s="22" t="n"/>
      <c r="I827" s="22" t="n"/>
      <c r="J827" s="22" t="n"/>
      <c r="K827" s="19" t="n"/>
      <c r="L827" s="19" t="n"/>
      <c r="M827" s="19" t="n"/>
      <c r="N827" s="19" t="n"/>
      <c r="O827" s="23">
        <f>IF(J827="","",H827+I827)</f>
        <v/>
      </c>
      <c r="P827" s="23">
        <f>IF(J827="","",J827-O827)</f>
        <v/>
      </c>
      <c r="Q827" s="24">
        <f>IF(OR(J827="",J827=0),"",P827/J827)</f>
        <v/>
      </c>
      <c r="R827" s="25">
        <f>IF(OR(A827="",B827=""),"",B827-A827)</f>
        <v/>
      </c>
      <c r="S827" s="26">
        <f>IF(B827="","",YEAR(B827))</f>
        <v/>
      </c>
      <c r="T827" s="27">
        <f>IF(B827="","",IF(OR(F827="Electric",F827="Plug-in",F827="Hibrid"),1,0))</f>
        <v/>
      </c>
    </row>
    <row r="828">
      <c r="A828" s="18" t="n"/>
      <c r="B828" s="18" t="n"/>
      <c r="C828" s="19" t="n"/>
      <c r="D828" s="19" t="n"/>
      <c r="E828" s="20" t="n"/>
      <c r="F828" s="19" t="n"/>
      <c r="G828" s="21" t="n"/>
      <c r="H828" s="22" t="n"/>
      <c r="I828" s="22" t="n"/>
      <c r="J828" s="22" t="n"/>
      <c r="K828" s="19" t="n"/>
      <c r="L828" s="19" t="n"/>
      <c r="M828" s="19" t="n"/>
      <c r="N828" s="19" t="n"/>
      <c r="O828" s="23">
        <f>IF(J828="","",H828+I828)</f>
        <v/>
      </c>
      <c r="P828" s="23">
        <f>IF(J828="","",J828-O828)</f>
        <v/>
      </c>
      <c r="Q828" s="24">
        <f>IF(OR(J828="",J828=0),"",P828/J828)</f>
        <v/>
      </c>
      <c r="R828" s="25">
        <f>IF(OR(A828="",B828=""),"",B828-A828)</f>
        <v/>
      </c>
      <c r="S828" s="26">
        <f>IF(B828="","",YEAR(B828))</f>
        <v/>
      </c>
      <c r="T828" s="27">
        <f>IF(B828="","",IF(OR(F828="Electric",F828="Plug-in",F828="Hibrid"),1,0))</f>
        <v/>
      </c>
    </row>
    <row r="829">
      <c r="A829" s="18" t="n"/>
      <c r="B829" s="18" t="n"/>
      <c r="C829" s="19" t="n"/>
      <c r="D829" s="19" t="n"/>
      <c r="E829" s="20" t="n"/>
      <c r="F829" s="19" t="n"/>
      <c r="G829" s="21" t="n"/>
      <c r="H829" s="22" t="n"/>
      <c r="I829" s="22" t="n"/>
      <c r="J829" s="22" t="n"/>
      <c r="K829" s="19" t="n"/>
      <c r="L829" s="19" t="n"/>
      <c r="M829" s="19" t="n"/>
      <c r="N829" s="19" t="n"/>
      <c r="O829" s="23">
        <f>IF(J829="","",H829+I829)</f>
        <v/>
      </c>
      <c r="P829" s="23">
        <f>IF(J829="","",J829-O829)</f>
        <v/>
      </c>
      <c r="Q829" s="24">
        <f>IF(OR(J829="",J829=0),"",P829/J829)</f>
        <v/>
      </c>
      <c r="R829" s="25">
        <f>IF(OR(A829="",B829=""),"",B829-A829)</f>
        <v/>
      </c>
      <c r="S829" s="26">
        <f>IF(B829="","",YEAR(B829))</f>
        <v/>
      </c>
      <c r="T829" s="27">
        <f>IF(B829="","",IF(OR(F829="Electric",F829="Plug-in",F829="Hibrid"),1,0))</f>
        <v/>
      </c>
    </row>
    <row r="830">
      <c r="A830" s="18" t="n"/>
      <c r="B830" s="18" t="n"/>
      <c r="C830" s="19" t="n"/>
      <c r="D830" s="19" t="n"/>
      <c r="E830" s="20" t="n"/>
      <c r="F830" s="19" t="n"/>
      <c r="G830" s="21" t="n"/>
      <c r="H830" s="22" t="n"/>
      <c r="I830" s="22" t="n"/>
      <c r="J830" s="22" t="n"/>
      <c r="K830" s="19" t="n"/>
      <c r="L830" s="19" t="n"/>
      <c r="M830" s="19" t="n"/>
      <c r="N830" s="19" t="n"/>
      <c r="O830" s="23">
        <f>IF(J830="","",H830+I830)</f>
        <v/>
      </c>
      <c r="P830" s="23">
        <f>IF(J830="","",J830-O830)</f>
        <v/>
      </c>
      <c r="Q830" s="24">
        <f>IF(OR(J830="",J830=0),"",P830/J830)</f>
        <v/>
      </c>
      <c r="R830" s="25">
        <f>IF(OR(A830="",B830=""),"",B830-A830)</f>
        <v/>
      </c>
      <c r="S830" s="26">
        <f>IF(B830="","",YEAR(B830))</f>
        <v/>
      </c>
      <c r="T830" s="27">
        <f>IF(B830="","",IF(OR(F830="Electric",F830="Plug-in",F830="Hibrid"),1,0))</f>
        <v/>
      </c>
    </row>
    <row r="831">
      <c r="A831" s="18" t="n"/>
      <c r="B831" s="18" t="n"/>
      <c r="C831" s="19" t="n"/>
      <c r="D831" s="19" t="n"/>
      <c r="E831" s="20" t="n"/>
      <c r="F831" s="19" t="n"/>
      <c r="G831" s="21" t="n"/>
      <c r="H831" s="22" t="n"/>
      <c r="I831" s="22" t="n"/>
      <c r="J831" s="22" t="n"/>
      <c r="K831" s="19" t="n"/>
      <c r="L831" s="19" t="n"/>
      <c r="M831" s="19" t="n"/>
      <c r="N831" s="19" t="n"/>
      <c r="O831" s="23">
        <f>IF(J831="","",H831+I831)</f>
        <v/>
      </c>
      <c r="P831" s="23">
        <f>IF(J831="","",J831-O831)</f>
        <v/>
      </c>
      <c r="Q831" s="24">
        <f>IF(OR(J831="",J831=0),"",P831/J831)</f>
        <v/>
      </c>
      <c r="R831" s="25">
        <f>IF(OR(A831="",B831=""),"",B831-A831)</f>
        <v/>
      </c>
      <c r="S831" s="26">
        <f>IF(B831="","",YEAR(B831))</f>
        <v/>
      </c>
      <c r="T831" s="27">
        <f>IF(B831="","",IF(OR(F831="Electric",F831="Plug-in",F831="Hibrid"),1,0))</f>
        <v/>
      </c>
    </row>
    <row r="832">
      <c r="A832" s="18" t="n"/>
      <c r="B832" s="18" t="n"/>
      <c r="C832" s="19" t="n"/>
      <c r="D832" s="19" t="n"/>
      <c r="E832" s="20" t="n"/>
      <c r="F832" s="19" t="n"/>
      <c r="G832" s="21" t="n"/>
      <c r="H832" s="22" t="n"/>
      <c r="I832" s="22" t="n"/>
      <c r="J832" s="22" t="n"/>
      <c r="K832" s="19" t="n"/>
      <c r="L832" s="19" t="n"/>
      <c r="M832" s="19" t="n"/>
      <c r="N832" s="19" t="n"/>
      <c r="O832" s="23">
        <f>IF(J832="","",H832+I832)</f>
        <v/>
      </c>
      <c r="P832" s="23">
        <f>IF(J832="","",J832-O832)</f>
        <v/>
      </c>
      <c r="Q832" s="24">
        <f>IF(OR(J832="",J832=0),"",P832/J832)</f>
        <v/>
      </c>
      <c r="R832" s="25">
        <f>IF(OR(A832="",B832=""),"",B832-A832)</f>
        <v/>
      </c>
      <c r="S832" s="26">
        <f>IF(B832="","",YEAR(B832))</f>
        <v/>
      </c>
      <c r="T832" s="27">
        <f>IF(B832="","",IF(OR(F832="Electric",F832="Plug-in",F832="Hibrid"),1,0))</f>
        <v/>
      </c>
    </row>
    <row r="833">
      <c r="A833" s="18" t="n"/>
      <c r="B833" s="18" t="n"/>
      <c r="C833" s="19" t="n"/>
      <c r="D833" s="19" t="n"/>
      <c r="E833" s="20" t="n"/>
      <c r="F833" s="19" t="n"/>
      <c r="G833" s="21" t="n"/>
      <c r="H833" s="22" t="n"/>
      <c r="I833" s="22" t="n"/>
      <c r="J833" s="22" t="n"/>
      <c r="K833" s="19" t="n"/>
      <c r="L833" s="19" t="n"/>
      <c r="M833" s="19" t="n"/>
      <c r="N833" s="19" t="n"/>
      <c r="O833" s="23">
        <f>IF(J833="","",H833+I833)</f>
        <v/>
      </c>
      <c r="P833" s="23">
        <f>IF(J833="","",J833-O833)</f>
        <v/>
      </c>
      <c r="Q833" s="24">
        <f>IF(OR(J833="",J833=0),"",P833/J833)</f>
        <v/>
      </c>
      <c r="R833" s="25">
        <f>IF(OR(A833="",B833=""),"",B833-A833)</f>
        <v/>
      </c>
      <c r="S833" s="26">
        <f>IF(B833="","",YEAR(B833))</f>
        <v/>
      </c>
      <c r="T833" s="27">
        <f>IF(B833="","",IF(OR(F833="Electric",F833="Plug-in",F833="Hibrid"),1,0))</f>
        <v/>
      </c>
    </row>
    <row r="834">
      <c r="A834" s="18" t="n"/>
      <c r="B834" s="18" t="n"/>
      <c r="C834" s="19" t="n"/>
      <c r="D834" s="19" t="n"/>
      <c r="E834" s="20" t="n"/>
      <c r="F834" s="19" t="n"/>
      <c r="G834" s="21" t="n"/>
      <c r="H834" s="22" t="n"/>
      <c r="I834" s="22" t="n"/>
      <c r="J834" s="22" t="n"/>
      <c r="K834" s="19" t="n"/>
      <c r="L834" s="19" t="n"/>
      <c r="M834" s="19" t="n"/>
      <c r="N834" s="19" t="n"/>
      <c r="O834" s="23">
        <f>IF(J834="","",H834+I834)</f>
        <v/>
      </c>
      <c r="P834" s="23">
        <f>IF(J834="","",J834-O834)</f>
        <v/>
      </c>
      <c r="Q834" s="24">
        <f>IF(OR(J834="",J834=0),"",P834/J834)</f>
        <v/>
      </c>
      <c r="R834" s="25">
        <f>IF(OR(A834="",B834=""),"",B834-A834)</f>
        <v/>
      </c>
      <c r="S834" s="26">
        <f>IF(B834="","",YEAR(B834))</f>
        <v/>
      </c>
      <c r="T834" s="27">
        <f>IF(B834="","",IF(OR(F834="Electric",F834="Plug-in",F834="Hibrid"),1,0))</f>
        <v/>
      </c>
    </row>
    <row r="835">
      <c r="A835" s="18" t="n"/>
      <c r="B835" s="18" t="n"/>
      <c r="C835" s="19" t="n"/>
      <c r="D835" s="19" t="n"/>
      <c r="E835" s="20" t="n"/>
      <c r="F835" s="19" t="n"/>
      <c r="G835" s="21" t="n"/>
      <c r="H835" s="22" t="n"/>
      <c r="I835" s="22" t="n"/>
      <c r="J835" s="22" t="n"/>
      <c r="K835" s="19" t="n"/>
      <c r="L835" s="19" t="n"/>
      <c r="M835" s="19" t="n"/>
      <c r="N835" s="19" t="n"/>
      <c r="O835" s="23">
        <f>IF(J835="","",H835+I835)</f>
        <v/>
      </c>
      <c r="P835" s="23">
        <f>IF(J835="","",J835-O835)</f>
        <v/>
      </c>
      <c r="Q835" s="24">
        <f>IF(OR(J835="",J835=0),"",P835/J835)</f>
        <v/>
      </c>
      <c r="R835" s="25">
        <f>IF(OR(A835="",B835=""),"",B835-A835)</f>
        <v/>
      </c>
      <c r="S835" s="26">
        <f>IF(B835="","",YEAR(B835))</f>
        <v/>
      </c>
      <c r="T835" s="27">
        <f>IF(B835="","",IF(OR(F835="Electric",F835="Plug-in",F835="Hibrid"),1,0))</f>
        <v/>
      </c>
    </row>
    <row r="836">
      <c r="A836" s="18" t="n"/>
      <c r="B836" s="18" t="n"/>
      <c r="C836" s="19" t="n"/>
      <c r="D836" s="19" t="n"/>
      <c r="E836" s="20" t="n"/>
      <c r="F836" s="19" t="n"/>
      <c r="G836" s="21" t="n"/>
      <c r="H836" s="22" t="n"/>
      <c r="I836" s="22" t="n"/>
      <c r="J836" s="22" t="n"/>
      <c r="K836" s="19" t="n"/>
      <c r="L836" s="19" t="n"/>
      <c r="M836" s="19" t="n"/>
      <c r="N836" s="19" t="n"/>
      <c r="O836" s="23">
        <f>IF(J836="","",H836+I836)</f>
        <v/>
      </c>
      <c r="P836" s="23">
        <f>IF(J836="","",J836-O836)</f>
        <v/>
      </c>
      <c r="Q836" s="24">
        <f>IF(OR(J836="",J836=0),"",P836/J836)</f>
        <v/>
      </c>
      <c r="R836" s="25">
        <f>IF(OR(A836="",B836=""),"",B836-A836)</f>
        <v/>
      </c>
      <c r="S836" s="26">
        <f>IF(B836="","",YEAR(B836))</f>
        <v/>
      </c>
      <c r="T836" s="27">
        <f>IF(B836="","",IF(OR(F836="Electric",F836="Plug-in",F836="Hibrid"),1,0))</f>
        <v/>
      </c>
    </row>
    <row r="837">
      <c r="A837" s="18" t="n"/>
      <c r="B837" s="18" t="n"/>
      <c r="C837" s="19" t="n"/>
      <c r="D837" s="19" t="n"/>
      <c r="E837" s="20" t="n"/>
      <c r="F837" s="19" t="n"/>
      <c r="G837" s="21" t="n"/>
      <c r="H837" s="22" t="n"/>
      <c r="I837" s="22" t="n"/>
      <c r="J837" s="22" t="n"/>
      <c r="K837" s="19" t="n"/>
      <c r="L837" s="19" t="n"/>
      <c r="M837" s="19" t="n"/>
      <c r="N837" s="19" t="n"/>
      <c r="O837" s="23">
        <f>IF(J837="","",H837+I837)</f>
        <v/>
      </c>
      <c r="P837" s="23">
        <f>IF(J837="","",J837-O837)</f>
        <v/>
      </c>
      <c r="Q837" s="24">
        <f>IF(OR(J837="",J837=0),"",P837/J837)</f>
        <v/>
      </c>
      <c r="R837" s="25">
        <f>IF(OR(A837="",B837=""),"",B837-A837)</f>
        <v/>
      </c>
      <c r="S837" s="26">
        <f>IF(B837="","",YEAR(B837))</f>
        <v/>
      </c>
      <c r="T837" s="27">
        <f>IF(B837="","",IF(OR(F837="Electric",F837="Plug-in",F837="Hibrid"),1,0))</f>
        <v/>
      </c>
    </row>
    <row r="838">
      <c r="A838" s="18" t="n"/>
      <c r="B838" s="18" t="n"/>
      <c r="C838" s="19" t="n"/>
      <c r="D838" s="19" t="n"/>
      <c r="E838" s="20" t="n"/>
      <c r="F838" s="19" t="n"/>
      <c r="G838" s="21" t="n"/>
      <c r="H838" s="22" t="n"/>
      <c r="I838" s="22" t="n"/>
      <c r="J838" s="22" t="n"/>
      <c r="K838" s="19" t="n"/>
      <c r="L838" s="19" t="n"/>
      <c r="M838" s="19" t="n"/>
      <c r="N838" s="19" t="n"/>
      <c r="O838" s="23">
        <f>IF(J838="","",H838+I838)</f>
        <v/>
      </c>
      <c r="P838" s="23">
        <f>IF(J838="","",J838-O838)</f>
        <v/>
      </c>
      <c r="Q838" s="24">
        <f>IF(OR(J838="",J838=0),"",P838/J838)</f>
        <v/>
      </c>
      <c r="R838" s="25">
        <f>IF(OR(A838="",B838=""),"",B838-A838)</f>
        <v/>
      </c>
      <c r="S838" s="26">
        <f>IF(B838="","",YEAR(B838))</f>
        <v/>
      </c>
      <c r="T838" s="27">
        <f>IF(B838="","",IF(OR(F838="Electric",F838="Plug-in",F838="Hibrid"),1,0))</f>
        <v/>
      </c>
    </row>
    <row r="839">
      <c r="A839" s="18" t="n"/>
      <c r="B839" s="18" t="n"/>
      <c r="C839" s="19" t="n"/>
      <c r="D839" s="19" t="n"/>
      <c r="E839" s="20" t="n"/>
      <c r="F839" s="19" t="n"/>
      <c r="G839" s="21" t="n"/>
      <c r="H839" s="22" t="n"/>
      <c r="I839" s="22" t="n"/>
      <c r="J839" s="22" t="n"/>
      <c r="K839" s="19" t="n"/>
      <c r="L839" s="19" t="n"/>
      <c r="M839" s="19" t="n"/>
      <c r="N839" s="19" t="n"/>
      <c r="O839" s="23">
        <f>IF(J839="","",H839+I839)</f>
        <v/>
      </c>
      <c r="P839" s="23">
        <f>IF(J839="","",J839-O839)</f>
        <v/>
      </c>
      <c r="Q839" s="24">
        <f>IF(OR(J839="",J839=0),"",P839/J839)</f>
        <v/>
      </c>
      <c r="R839" s="25">
        <f>IF(OR(A839="",B839=""),"",B839-A839)</f>
        <v/>
      </c>
      <c r="S839" s="26">
        <f>IF(B839="","",YEAR(B839))</f>
        <v/>
      </c>
      <c r="T839" s="27">
        <f>IF(B839="","",IF(OR(F839="Electric",F839="Plug-in",F839="Hibrid"),1,0))</f>
        <v/>
      </c>
    </row>
    <row r="840">
      <c r="A840" s="18" t="n"/>
      <c r="B840" s="18" t="n"/>
      <c r="C840" s="19" t="n"/>
      <c r="D840" s="19" t="n"/>
      <c r="E840" s="20" t="n"/>
      <c r="F840" s="19" t="n"/>
      <c r="G840" s="21" t="n"/>
      <c r="H840" s="22" t="n"/>
      <c r="I840" s="22" t="n"/>
      <c r="J840" s="22" t="n"/>
      <c r="K840" s="19" t="n"/>
      <c r="L840" s="19" t="n"/>
      <c r="M840" s="19" t="n"/>
      <c r="N840" s="19" t="n"/>
      <c r="O840" s="23">
        <f>IF(J840="","",H840+I840)</f>
        <v/>
      </c>
      <c r="P840" s="23">
        <f>IF(J840="","",J840-O840)</f>
        <v/>
      </c>
      <c r="Q840" s="24">
        <f>IF(OR(J840="",J840=0),"",P840/J840)</f>
        <v/>
      </c>
      <c r="R840" s="25">
        <f>IF(OR(A840="",B840=""),"",B840-A840)</f>
        <v/>
      </c>
      <c r="S840" s="26">
        <f>IF(B840="","",YEAR(B840))</f>
        <v/>
      </c>
      <c r="T840" s="27">
        <f>IF(B840="","",IF(OR(F840="Electric",F840="Plug-in",F840="Hibrid"),1,0))</f>
        <v/>
      </c>
    </row>
    <row r="841">
      <c r="A841" s="18" t="n"/>
      <c r="B841" s="18" t="n"/>
      <c r="C841" s="19" t="n"/>
      <c r="D841" s="19" t="n"/>
      <c r="E841" s="20" t="n"/>
      <c r="F841" s="19" t="n"/>
      <c r="G841" s="21" t="n"/>
      <c r="H841" s="22" t="n"/>
      <c r="I841" s="22" t="n"/>
      <c r="J841" s="22" t="n"/>
      <c r="K841" s="19" t="n"/>
      <c r="L841" s="19" t="n"/>
      <c r="M841" s="19" t="n"/>
      <c r="N841" s="19" t="n"/>
      <c r="O841" s="23">
        <f>IF(J841="","",H841+I841)</f>
        <v/>
      </c>
      <c r="P841" s="23">
        <f>IF(J841="","",J841-O841)</f>
        <v/>
      </c>
      <c r="Q841" s="24">
        <f>IF(OR(J841="",J841=0),"",P841/J841)</f>
        <v/>
      </c>
      <c r="R841" s="25">
        <f>IF(OR(A841="",B841=""),"",B841-A841)</f>
        <v/>
      </c>
      <c r="S841" s="26">
        <f>IF(B841="","",YEAR(B841))</f>
        <v/>
      </c>
      <c r="T841" s="27">
        <f>IF(B841="","",IF(OR(F841="Electric",F841="Plug-in",F841="Hibrid"),1,0))</f>
        <v/>
      </c>
    </row>
    <row r="842">
      <c r="A842" s="18" t="n"/>
      <c r="B842" s="18" t="n"/>
      <c r="C842" s="19" t="n"/>
      <c r="D842" s="19" t="n"/>
      <c r="E842" s="20" t="n"/>
      <c r="F842" s="19" t="n"/>
      <c r="G842" s="21" t="n"/>
      <c r="H842" s="22" t="n"/>
      <c r="I842" s="22" t="n"/>
      <c r="J842" s="22" t="n"/>
      <c r="K842" s="19" t="n"/>
      <c r="L842" s="19" t="n"/>
      <c r="M842" s="19" t="n"/>
      <c r="N842" s="19" t="n"/>
      <c r="O842" s="23">
        <f>IF(J842="","",H842+I842)</f>
        <v/>
      </c>
      <c r="P842" s="23">
        <f>IF(J842="","",J842-O842)</f>
        <v/>
      </c>
      <c r="Q842" s="24">
        <f>IF(OR(J842="",J842=0),"",P842/J842)</f>
        <v/>
      </c>
      <c r="R842" s="25">
        <f>IF(OR(A842="",B842=""),"",B842-A842)</f>
        <v/>
      </c>
      <c r="S842" s="26">
        <f>IF(B842="","",YEAR(B842))</f>
        <v/>
      </c>
      <c r="T842" s="27">
        <f>IF(B842="","",IF(OR(F842="Electric",F842="Plug-in",F842="Hibrid"),1,0))</f>
        <v/>
      </c>
    </row>
    <row r="843">
      <c r="A843" s="18" t="n"/>
      <c r="B843" s="18" t="n"/>
      <c r="C843" s="19" t="n"/>
      <c r="D843" s="19" t="n"/>
      <c r="E843" s="20" t="n"/>
      <c r="F843" s="19" t="n"/>
      <c r="G843" s="21" t="n"/>
      <c r="H843" s="22" t="n"/>
      <c r="I843" s="22" t="n"/>
      <c r="J843" s="22" t="n"/>
      <c r="K843" s="19" t="n"/>
      <c r="L843" s="19" t="n"/>
      <c r="M843" s="19" t="n"/>
      <c r="N843" s="19" t="n"/>
      <c r="O843" s="23">
        <f>IF(J843="","",H843+I843)</f>
        <v/>
      </c>
      <c r="P843" s="23">
        <f>IF(J843="","",J843-O843)</f>
        <v/>
      </c>
      <c r="Q843" s="24">
        <f>IF(OR(J843="",J843=0),"",P843/J843)</f>
        <v/>
      </c>
      <c r="R843" s="25">
        <f>IF(OR(A843="",B843=""),"",B843-A843)</f>
        <v/>
      </c>
      <c r="S843" s="26">
        <f>IF(B843="","",YEAR(B843))</f>
        <v/>
      </c>
      <c r="T843" s="27">
        <f>IF(B843="","",IF(OR(F843="Electric",F843="Plug-in",F843="Hibrid"),1,0))</f>
        <v/>
      </c>
    </row>
    <row r="844">
      <c r="A844" s="18" t="n"/>
      <c r="B844" s="18" t="n"/>
      <c r="C844" s="19" t="n"/>
      <c r="D844" s="19" t="n"/>
      <c r="E844" s="20" t="n"/>
      <c r="F844" s="19" t="n"/>
      <c r="G844" s="21" t="n"/>
      <c r="H844" s="22" t="n"/>
      <c r="I844" s="22" t="n"/>
      <c r="J844" s="22" t="n"/>
      <c r="K844" s="19" t="n"/>
      <c r="L844" s="19" t="n"/>
      <c r="M844" s="19" t="n"/>
      <c r="N844" s="19" t="n"/>
      <c r="O844" s="23">
        <f>IF(J844="","",H844+I844)</f>
        <v/>
      </c>
      <c r="P844" s="23">
        <f>IF(J844="","",J844-O844)</f>
        <v/>
      </c>
      <c r="Q844" s="24">
        <f>IF(OR(J844="",J844=0),"",P844/J844)</f>
        <v/>
      </c>
      <c r="R844" s="25">
        <f>IF(OR(A844="",B844=""),"",B844-A844)</f>
        <v/>
      </c>
      <c r="S844" s="26">
        <f>IF(B844="","",YEAR(B844))</f>
        <v/>
      </c>
      <c r="T844" s="27">
        <f>IF(B844="","",IF(OR(F844="Electric",F844="Plug-in",F844="Hibrid"),1,0))</f>
        <v/>
      </c>
    </row>
    <row r="845">
      <c r="A845" s="18" t="n"/>
      <c r="B845" s="18" t="n"/>
      <c r="C845" s="19" t="n"/>
      <c r="D845" s="19" t="n"/>
      <c r="E845" s="20" t="n"/>
      <c r="F845" s="19" t="n"/>
      <c r="G845" s="21" t="n"/>
      <c r="H845" s="22" t="n"/>
      <c r="I845" s="22" t="n"/>
      <c r="J845" s="22" t="n"/>
      <c r="K845" s="19" t="n"/>
      <c r="L845" s="19" t="n"/>
      <c r="M845" s="19" t="n"/>
      <c r="N845" s="19" t="n"/>
      <c r="O845" s="23">
        <f>IF(J845="","",H845+I845)</f>
        <v/>
      </c>
      <c r="P845" s="23">
        <f>IF(J845="","",J845-O845)</f>
        <v/>
      </c>
      <c r="Q845" s="24">
        <f>IF(OR(J845="",J845=0),"",P845/J845)</f>
        <v/>
      </c>
      <c r="R845" s="25">
        <f>IF(OR(A845="",B845=""),"",B845-A845)</f>
        <v/>
      </c>
      <c r="S845" s="26">
        <f>IF(B845="","",YEAR(B845))</f>
        <v/>
      </c>
      <c r="T845" s="27">
        <f>IF(B845="","",IF(OR(F845="Electric",F845="Plug-in",F845="Hibrid"),1,0))</f>
        <v/>
      </c>
    </row>
    <row r="846">
      <c r="A846" s="18" t="n"/>
      <c r="B846" s="18" t="n"/>
      <c r="C846" s="19" t="n"/>
      <c r="D846" s="19" t="n"/>
      <c r="E846" s="20" t="n"/>
      <c r="F846" s="19" t="n"/>
      <c r="G846" s="21" t="n"/>
      <c r="H846" s="22" t="n"/>
      <c r="I846" s="22" t="n"/>
      <c r="J846" s="22" t="n"/>
      <c r="K846" s="19" t="n"/>
      <c r="L846" s="19" t="n"/>
      <c r="M846" s="19" t="n"/>
      <c r="N846" s="19" t="n"/>
      <c r="O846" s="23">
        <f>IF(J846="","",H846+I846)</f>
        <v/>
      </c>
      <c r="P846" s="23">
        <f>IF(J846="","",J846-O846)</f>
        <v/>
      </c>
      <c r="Q846" s="24">
        <f>IF(OR(J846="",J846=0),"",P846/J846)</f>
        <v/>
      </c>
      <c r="R846" s="25">
        <f>IF(OR(A846="",B846=""),"",B846-A846)</f>
        <v/>
      </c>
      <c r="S846" s="26">
        <f>IF(B846="","",YEAR(B846))</f>
        <v/>
      </c>
      <c r="T846" s="27">
        <f>IF(B846="","",IF(OR(F846="Electric",F846="Plug-in",F846="Hibrid"),1,0))</f>
        <v/>
      </c>
    </row>
    <row r="847">
      <c r="A847" s="18" t="n"/>
      <c r="B847" s="18" t="n"/>
      <c r="C847" s="19" t="n"/>
      <c r="D847" s="19" t="n"/>
      <c r="E847" s="20" t="n"/>
      <c r="F847" s="19" t="n"/>
      <c r="G847" s="21" t="n"/>
      <c r="H847" s="22" t="n"/>
      <c r="I847" s="22" t="n"/>
      <c r="J847" s="22" t="n"/>
      <c r="K847" s="19" t="n"/>
      <c r="L847" s="19" t="n"/>
      <c r="M847" s="19" t="n"/>
      <c r="N847" s="19" t="n"/>
      <c r="O847" s="23">
        <f>IF(J847="","",H847+I847)</f>
        <v/>
      </c>
      <c r="P847" s="23">
        <f>IF(J847="","",J847-O847)</f>
        <v/>
      </c>
      <c r="Q847" s="24">
        <f>IF(OR(J847="",J847=0),"",P847/J847)</f>
        <v/>
      </c>
      <c r="R847" s="25">
        <f>IF(OR(A847="",B847=""),"",B847-A847)</f>
        <v/>
      </c>
      <c r="S847" s="26">
        <f>IF(B847="","",YEAR(B847))</f>
        <v/>
      </c>
      <c r="T847" s="27">
        <f>IF(B847="","",IF(OR(F847="Electric",F847="Plug-in",F847="Hibrid"),1,0))</f>
        <v/>
      </c>
    </row>
    <row r="848">
      <c r="A848" s="18" t="n"/>
      <c r="B848" s="18" t="n"/>
      <c r="C848" s="19" t="n"/>
      <c r="D848" s="19" t="n"/>
      <c r="E848" s="20" t="n"/>
      <c r="F848" s="19" t="n"/>
      <c r="G848" s="21" t="n"/>
      <c r="H848" s="22" t="n"/>
      <c r="I848" s="22" t="n"/>
      <c r="J848" s="22" t="n"/>
      <c r="K848" s="19" t="n"/>
      <c r="L848" s="19" t="n"/>
      <c r="M848" s="19" t="n"/>
      <c r="N848" s="19" t="n"/>
      <c r="O848" s="23">
        <f>IF(J848="","",H848+I848)</f>
        <v/>
      </c>
      <c r="P848" s="23">
        <f>IF(J848="","",J848-O848)</f>
        <v/>
      </c>
      <c r="Q848" s="24">
        <f>IF(OR(J848="",J848=0),"",P848/J848)</f>
        <v/>
      </c>
      <c r="R848" s="25">
        <f>IF(OR(A848="",B848=""),"",B848-A848)</f>
        <v/>
      </c>
      <c r="S848" s="26">
        <f>IF(B848="","",YEAR(B848))</f>
        <v/>
      </c>
      <c r="T848" s="27">
        <f>IF(B848="","",IF(OR(F848="Electric",F848="Plug-in",F848="Hibrid"),1,0))</f>
        <v/>
      </c>
    </row>
    <row r="849">
      <c r="A849" s="18" t="n"/>
      <c r="B849" s="18" t="n"/>
      <c r="C849" s="19" t="n"/>
      <c r="D849" s="19" t="n"/>
      <c r="E849" s="20" t="n"/>
      <c r="F849" s="19" t="n"/>
      <c r="G849" s="21" t="n"/>
      <c r="H849" s="22" t="n"/>
      <c r="I849" s="22" t="n"/>
      <c r="J849" s="22" t="n"/>
      <c r="K849" s="19" t="n"/>
      <c r="L849" s="19" t="n"/>
      <c r="M849" s="19" t="n"/>
      <c r="N849" s="19" t="n"/>
      <c r="O849" s="23">
        <f>IF(J849="","",H849+I849)</f>
        <v/>
      </c>
      <c r="P849" s="23">
        <f>IF(J849="","",J849-O849)</f>
        <v/>
      </c>
      <c r="Q849" s="24">
        <f>IF(OR(J849="",J849=0),"",P849/J849)</f>
        <v/>
      </c>
      <c r="R849" s="25">
        <f>IF(OR(A849="",B849=""),"",B849-A849)</f>
        <v/>
      </c>
      <c r="S849" s="26">
        <f>IF(B849="","",YEAR(B849))</f>
        <v/>
      </c>
      <c r="T849" s="27">
        <f>IF(B849="","",IF(OR(F849="Electric",F849="Plug-in",F849="Hibrid"),1,0))</f>
        <v/>
      </c>
    </row>
    <row r="850">
      <c r="A850" s="18" t="n"/>
      <c r="B850" s="18" t="n"/>
      <c r="C850" s="19" t="n"/>
      <c r="D850" s="19" t="n"/>
      <c r="E850" s="20" t="n"/>
      <c r="F850" s="19" t="n"/>
      <c r="G850" s="21" t="n"/>
      <c r="H850" s="22" t="n"/>
      <c r="I850" s="22" t="n"/>
      <c r="J850" s="22" t="n"/>
      <c r="K850" s="19" t="n"/>
      <c r="L850" s="19" t="n"/>
      <c r="M850" s="19" t="n"/>
      <c r="N850" s="19" t="n"/>
      <c r="O850" s="23">
        <f>IF(J850="","",H850+I850)</f>
        <v/>
      </c>
      <c r="P850" s="23">
        <f>IF(J850="","",J850-O850)</f>
        <v/>
      </c>
      <c r="Q850" s="24">
        <f>IF(OR(J850="",J850=0),"",P850/J850)</f>
        <v/>
      </c>
      <c r="R850" s="25">
        <f>IF(OR(A850="",B850=""),"",B850-A850)</f>
        <v/>
      </c>
      <c r="S850" s="26">
        <f>IF(B850="","",YEAR(B850))</f>
        <v/>
      </c>
      <c r="T850" s="27">
        <f>IF(B850="","",IF(OR(F850="Electric",F850="Plug-in",F850="Hibrid"),1,0))</f>
        <v/>
      </c>
    </row>
    <row r="851">
      <c r="A851" s="18" t="n"/>
      <c r="B851" s="18" t="n"/>
      <c r="C851" s="19" t="n"/>
      <c r="D851" s="19" t="n"/>
      <c r="E851" s="20" t="n"/>
      <c r="F851" s="19" t="n"/>
      <c r="G851" s="21" t="n"/>
      <c r="H851" s="22" t="n"/>
      <c r="I851" s="22" t="n"/>
      <c r="J851" s="22" t="n"/>
      <c r="K851" s="19" t="n"/>
      <c r="L851" s="19" t="n"/>
      <c r="M851" s="19" t="n"/>
      <c r="N851" s="19" t="n"/>
      <c r="O851" s="23">
        <f>IF(J851="","",H851+I851)</f>
        <v/>
      </c>
      <c r="P851" s="23">
        <f>IF(J851="","",J851-O851)</f>
        <v/>
      </c>
      <c r="Q851" s="24">
        <f>IF(OR(J851="",J851=0),"",P851/J851)</f>
        <v/>
      </c>
      <c r="R851" s="25">
        <f>IF(OR(A851="",B851=""),"",B851-A851)</f>
        <v/>
      </c>
      <c r="S851" s="26">
        <f>IF(B851="","",YEAR(B851))</f>
        <v/>
      </c>
      <c r="T851" s="27">
        <f>IF(B851="","",IF(OR(F851="Electric",F851="Plug-in",F851="Hibrid"),1,0))</f>
        <v/>
      </c>
    </row>
    <row r="852">
      <c r="A852" s="18" t="n"/>
      <c r="B852" s="18" t="n"/>
      <c r="C852" s="19" t="n"/>
      <c r="D852" s="19" t="n"/>
      <c r="E852" s="20" t="n"/>
      <c r="F852" s="19" t="n"/>
      <c r="G852" s="21" t="n"/>
      <c r="H852" s="22" t="n"/>
      <c r="I852" s="22" t="n"/>
      <c r="J852" s="22" t="n"/>
      <c r="K852" s="19" t="n"/>
      <c r="L852" s="19" t="n"/>
      <c r="M852" s="19" t="n"/>
      <c r="N852" s="19" t="n"/>
      <c r="O852" s="23">
        <f>IF(J852="","",H852+I852)</f>
        <v/>
      </c>
      <c r="P852" s="23">
        <f>IF(J852="","",J852-O852)</f>
        <v/>
      </c>
      <c r="Q852" s="24">
        <f>IF(OR(J852="",J852=0),"",P852/J852)</f>
        <v/>
      </c>
      <c r="R852" s="25">
        <f>IF(OR(A852="",B852=""),"",B852-A852)</f>
        <v/>
      </c>
      <c r="S852" s="26">
        <f>IF(B852="","",YEAR(B852))</f>
        <v/>
      </c>
      <c r="T852" s="27">
        <f>IF(B852="","",IF(OR(F852="Electric",F852="Plug-in",F852="Hibrid"),1,0))</f>
        <v/>
      </c>
    </row>
    <row r="853">
      <c r="A853" s="18" t="n"/>
      <c r="B853" s="18" t="n"/>
      <c r="C853" s="19" t="n"/>
      <c r="D853" s="19" t="n"/>
      <c r="E853" s="20" t="n"/>
      <c r="F853" s="19" t="n"/>
      <c r="G853" s="21" t="n"/>
      <c r="H853" s="22" t="n"/>
      <c r="I853" s="22" t="n"/>
      <c r="J853" s="22" t="n"/>
      <c r="K853" s="19" t="n"/>
      <c r="L853" s="19" t="n"/>
      <c r="M853" s="19" t="n"/>
      <c r="N853" s="19" t="n"/>
      <c r="O853" s="23">
        <f>IF(J853="","",H853+I853)</f>
        <v/>
      </c>
      <c r="P853" s="23">
        <f>IF(J853="","",J853-O853)</f>
        <v/>
      </c>
      <c r="Q853" s="24">
        <f>IF(OR(J853="",J853=0),"",P853/J853)</f>
        <v/>
      </c>
      <c r="R853" s="25">
        <f>IF(OR(A853="",B853=""),"",B853-A853)</f>
        <v/>
      </c>
      <c r="S853" s="26">
        <f>IF(B853="","",YEAR(B853))</f>
        <v/>
      </c>
      <c r="T853" s="27">
        <f>IF(B853="","",IF(OR(F853="Electric",F853="Plug-in",F853="Hibrid"),1,0))</f>
        <v/>
      </c>
    </row>
    <row r="854">
      <c r="A854" s="18" t="n"/>
      <c r="B854" s="18" t="n"/>
      <c r="C854" s="19" t="n"/>
      <c r="D854" s="19" t="n"/>
      <c r="E854" s="20" t="n"/>
      <c r="F854" s="19" t="n"/>
      <c r="G854" s="21" t="n"/>
      <c r="H854" s="22" t="n"/>
      <c r="I854" s="22" t="n"/>
      <c r="J854" s="22" t="n"/>
      <c r="K854" s="19" t="n"/>
      <c r="L854" s="19" t="n"/>
      <c r="M854" s="19" t="n"/>
      <c r="N854" s="19" t="n"/>
      <c r="O854" s="23">
        <f>IF(J854="","",H854+I854)</f>
        <v/>
      </c>
      <c r="P854" s="23">
        <f>IF(J854="","",J854-O854)</f>
        <v/>
      </c>
      <c r="Q854" s="24">
        <f>IF(OR(J854="",J854=0),"",P854/J854)</f>
        <v/>
      </c>
      <c r="R854" s="25">
        <f>IF(OR(A854="",B854=""),"",B854-A854)</f>
        <v/>
      </c>
      <c r="S854" s="26">
        <f>IF(B854="","",YEAR(B854))</f>
        <v/>
      </c>
      <c r="T854" s="27">
        <f>IF(B854="","",IF(OR(F854="Electric",F854="Plug-in",F854="Hibrid"),1,0))</f>
        <v/>
      </c>
    </row>
    <row r="855">
      <c r="A855" s="18" t="n"/>
      <c r="B855" s="18" t="n"/>
      <c r="C855" s="19" t="n"/>
      <c r="D855" s="19" t="n"/>
      <c r="E855" s="20" t="n"/>
      <c r="F855" s="19" t="n"/>
      <c r="G855" s="21" t="n"/>
      <c r="H855" s="22" t="n"/>
      <c r="I855" s="22" t="n"/>
      <c r="J855" s="22" t="n"/>
      <c r="K855" s="19" t="n"/>
      <c r="L855" s="19" t="n"/>
      <c r="M855" s="19" t="n"/>
      <c r="N855" s="19" t="n"/>
      <c r="O855" s="23">
        <f>IF(J855="","",H855+I855)</f>
        <v/>
      </c>
      <c r="P855" s="23">
        <f>IF(J855="","",J855-O855)</f>
        <v/>
      </c>
      <c r="Q855" s="24">
        <f>IF(OR(J855="",J855=0),"",P855/J855)</f>
        <v/>
      </c>
      <c r="R855" s="25">
        <f>IF(OR(A855="",B855=""),"",B855-A855)</f>
        <v/>
      </c>
      <c r="S855" s="26">
        <f>IF(B855="","",YEAR(B855))</f>
        <v/>
      </c>
      <c r="T855" s="27">
        <f>IF(B855="","",IF(OR(F855="Electric",F855="Plug-in",F855="Hibrid"),1,0))</f>
        <v/>
      </c>
    </row>
    <row r="856">
      <c r="A856" s="18" t="n"/>
      <c r="B856" s="18" t="n"/>
      <c r="C856" s="19" t="n"/>
      <c r="D856" s="19" t="n"/>
      <c r="E856" s="20" t="n"/>
      <c r="F856" s="19" t="n"/>
      <c r="G856" s="21" t="n"/>
      <c r="H856" s="22" t="n"/>
      <c r="I856" s="22" t="n"/>
      <c r="J856" s="22" t="n"/>
      <c r="K856" s="19" t="n"/>
      <c r="L856" s="19" t="n"/>
      <c r="M856" s="19" t="n"/>
      <c r="N856" s="19" t="n"/>
      <c r="O856" s="23">
        <f>IF(J856="","",H856+I856)</f>
        <v/>
      </c>
      <c r="P856" s="23">
        <f>IF(J856="","",J856-O856)</f>
        <v/>
      </c>
      <c r="Q856" s="24">
        <f>IF(OR(J856="",J856=0),"",P856/J856)</f>
        <v/>
      </c>
      <c r="R856" s="25">
        <f>IF(OR(A856="",B856=""),"",B856-A856)</f>
        <v/>
      </c>
      <c r="S856" s="26">
        <f>IF(B856="","",YEAR(B856))</f>
        <v/>
      </c>
      <c r="T856" s="27">
        <f>IF(B856="","",IF(OR(F856="Electric",F856="Plug-in",F856="Hibrid"),1,0))</f>
        <v/>
      </c>
    </row>
    <row r="857">
      <c r="A857" s="18" t="n"/>
      <c r="B857" s="18" t="n"/>
      <c r="C857" s="19" t="n"/>
      <c r="D857" s="19" t="n"/>
      <c r="E857" s="20" t="n"/>
      <c r="F857" s="19" t="n"/>
      <c r="G857" s="21" t="n"/>
      <c r="H857" s="22" t="n"/>
      <c r="I857" s="22" t="n"/>
      <c r="J857" s="22" t="n"/>
      <c r="K857" s="19" t="n"/>
      <c r="L857" s="19" t="n"/>
      <c r="M857" s="19" t="n"/>
      <c r="N857" s="19" t="n"/>
      <c r="O857" s="23">
        <f>IF(J857="","",H857+I857)</f>
        <v/>
      </c>
      <c r="P857" s="23">
        <f>IF(J857="","",J857-O857)</f>
        <v/>
      </c>
      <c r="Q857" s="24">
        <f>IF(OR(J857="",J857=0),"",P857/J857)</f>
        <v/>
      </c>
      <c r="R857" s="25">
        <f>IF(OR(A857="",B857=""),"",B857-A857)</f>
        <v/>
      </c>
      <c r="S857" s="26">
        <f>IF(B857="","",YEAR(B857))</f>
        <v/>
      </c>
      <c r="T857" s="27">
        <f>IF(B857="","",IF(OR(F857="Electric",F857="Plug-in",F857="Hibrid"),1,0))</f>
        <v/>
      </c>
    </row>
    <row r="858">
      <c r="A858" s="18" t="n"/>
      <c r="B858" s="18" t="n"/>
      <c r="C858" s="19" t="n"/>
      <c r="D858" s="19" t="n"/>
      <c r="E858" s="20" t="n"/>
      <c r="F858" s="19" t="n"/>
      <c r="G858" s="21" t="n"/>
      <c r="H858" s="22" t="n"/>
      <c r="I858" s="22" t="n"/>
      <c r="J858" s="22" t="n"/>
      <c r="K858" s="19" t="n"/>
      <c r="L858" s="19" t="n"/>
      <c r="M858" s="19" t="n"/>
      <c r="N858" s="19" t="n"/>
      <c r="O858" s="23">
        <f>IF(J858="","",H858+I858)</f>
        <v/>
      </c>
      <c r="P858" s="23">
        <f>IF(J858="","",J858-O858)</f>
        <v/>
      </c>
      <c r="Q858" s="24">
        <f>IF(OR(J858="",J858=0),"",P858/J858)</f>
        <v/>
      </c>
      <c r="R858" s="25">
        <f>IF(OR(A858="",B858=""),"",B858-A858)</f>
        <v/>
      </c>
      <c r="S858" s="26">
        <f>IF(B858="","",YEAR(B858))</f>
        <v/>
      </c>
      <c r="T858" s="27">
        <f>IF(B858="","",IF(OR(F858="Electric",F858="Plug-in",F858="Hibrid"),1,0))</f>
        <v/>
      </c>
    </row>
    <row r="859">
      <c r="A859" s="18" t="n"/>
      <c r="B859" s="18" t="n"/>
      <c r="C859" s="19" t="n"/>
      <c r="D859" s="19" t="n"/>
      <c r="E859" s="20" t="n"/>
      <c r="F859" s="19" t="n"/>
      <c r="G859" s="21" t="n"/>
      <c r="H859" s="22" t="n"/>
      <c r="I859" s="22" t="n"/>
      <c r="J859" s="22" t="n"/>
      <c r="K859" s="19" t="n"/>
      <c r="L859" s="19" t="n"/>
      <c r="M859" s="19" t="n"/>
      <c r="N859" s="19" t="n"/>
      <c r="O859" s="23">
        <f>IF(J859="","",H859+I859)</f>
        <v/>
      </c>
      <c r="P859" s="23">
        <f>IF(J859="","",J859-O859)</f>
        <v/>
      </c>
      <c r="Q859" s="24">
        <f>IF(OR(J859="",J859=0),"",P859/J859)</f>
        <v/>
      </c>
      <c r="R859" s="25">
        <f>IF(OR(A859="",B859=""),"",B859-A859)</f>
        <v/>
      </c>
      <c r="S859" s="26">
        <f>IF(B859="","",YEAR(B859))</f>
        <v/>
      </c>
      <c r="T859" s="27">
        <f>IF(B859="","",IF(OR(F859="Electric",F859="Plug-in",F859="Hibrid"),1,0))</f>
        <v/>
      </c>
    </row>
    <row r="860">
      <c r="A860" s="18" t="n"/>
      <c r="B860" s="18" t="n"/>
      <c r="C860" s="19" t="n"/>
      <c r="D860" s="19" t="n"/>
      <c r="E860" s="20" t="n"/>
      <c r="F860" s="19" t="n"/>
      <c r="G860" s="21" t="n"/>
      <c r="H860" s="22" t="n"/>
      <c r="I860" s="22" t="n"/>
      <c r="J860" s="22" t="n"/>
      <c r="K860" s="19" t="n"/>
      <c r="L860" s="19" t="n"/>
      <c r="M860" s="19" t="n"/>
      <c r="N860" s="19" t="n"/>
      <c r="O860" s="23">
        <f>IF(J860="","",H860+I860)</f>
        <v/>
      </c>
      <c r="P860" s="23">
        <f>IF(J860="","",J860-O860)</f>
        <v/>
      </c>
      <c r="Q860" s="24">
        <f>IF(OR(J860="",J860=0),"",P860/J860)</f>
        <v/>
      </c>
      <c r="R860" s="25">
        <f>IF(OR(A860="",B860=""),"",B860-A860)</f>
        <v/>
      </c>
      <c r="S860" s="26">
        <f>IF(B860="","",YEAR(B860))</f>
        <v/>
      </c>
      <c r="T860" s="27">
        <f>IF(B860="","",IF(OR(F860="Electric",F860="Plug-in",F860="Hibrid"),1,0))</f>
        <v/>
      </c>
    </row>
    <row r="861">
      <c r="A861" s="18" t="n"/>
      <c r="B861" s="18" t="n"/>
      <c r="C861" s="19" t="n"/>
      <c r="D861" s="19" t="n"/>
      <c r="E861" s="20" t="n"/>
      <c r="F861" s="19" t="n"/>
      <c r="G861" s="21" t="n"/>
      <c r="H861" s="22" t="n"/>
      <c r="I861" s="22" t="n"/>
      <c r="J861" s="22" t="n"/>
      <c r="K861" s="19" t="n"/>
      <c r="L861" s="19" t="n"/>
      <c r="M861" s="19" t="n"/>
      <c r="N861" s="19" t="n"/>
      <c r="O861" s="23">
        <f>IF(J861="","",H861+I861)</f>
        <v/>
      </c>
      <c r="P861" s="23">
        <f>IF(J861="","",J861-O861)</f>
        <v/>
      </c>
      <c r="Q861" s="24">
        <f>IF(OR(J861="",J861=0),"",P861/J861)</f>
        <v/>
      </c>
      <c r="R861" s="25">
        <f>IF(OR(A861="",B861=""),"",B861-A861)</f>
        <v/>
      </c>
      <c r="S861" s="26">
        <f>IF(B861="","",YEAR(B861))</f>
        <v/>
      </c>
      <c r="T861" s="27">
        <f>IF(B861="","",IF(OR(F861="Electric",F861="Plug-in",F861="Hibrid"),1,0))</f>
        <v/>
      </c>
    </row>
    <row r="862">
      <c r="A862" s="18" t="n"/>
      <c r="B862" s="18" t="n"/>
      <c r="C862" s="19" t="n"/>
      <c r="D862" s="19" t="n"/>
      <c r="E862" s="20" t="n"/>
      <c r="F862" s="19" t="n"/>
      <c r="G862" s="21" t="n"/>
      <c r="H862" s="22" t="n"/>
      <c r="I862" s="22" t="n"/>
      <c r="J862" s="22" t="n"/>
      <c r="K862" s="19" t="n"/>
      <c r="L862" s="19" t="n"/>
      <c r="M862" s="19" t="n"/>
      <c r="N862" s="19" t="n"/>
      <c r="O862" s="23">
        <f>IF(J862="","",H862+I862)</f>
        <v/>
      </c>
      <c r="P862" s="23">
        <f>IF(J862="","",J862-O862)</f>
        <v/>
      </c>
      <c r="Q862" s="24">
        <f>IF(OR(J862="",J862=0),"",P862/J862)</f>
        <v/>
      </c>
      <c r="R862" s="25">
        <f>IF(OR(A862="",B862=""),"",B862-A862)</f>
        <v/>
      </c>
      <c r="S862" s="26">
        <f>IF(B862="","",YEAR(B862))</f>
        <v/>
      </c>
      <c r="T862" s="27">
        <f>IF(B862="","",IF(OR(F862="Electric",F862="Plug-in",F862="Hibrid"),1,0))</f>
        <v/>
      </c>
    </row>
    <row r="863">
      <c r="A863" s="18" t="n"/>
      <c r="B863" s="18" t="n"/>
      <c r="C863" s="19" t="n"/>
      <c r="D863" s="19" t="n"/>
      <c r="E863" s="20" t="n"/>
      <c r="F863" s="19" t="n"/>
      <c r="G863" s="21" t="n"/>
      <c r="H863" s="22" t="n"/>
      <c r="I863" s="22" t="n"/>
      <c r="J863" s="22" t="n"/>
      <c r="K863" s="19" t="n"/>
      <c r="L863" s="19" t="n"/>
      <c r="M863" s="19" t="n"/>
      <c r="N863" s="19" t="n"/>
      <c r="O863" s="23">
        <f>IF(J863="","",H863+I863)</f>
        <v/>
      </c>
      <c r="P863" s="23">
        <f>IF(J863="","",J863-O863)</f>
        <v/>
      </c>
      <c r="Q863" s="24">
        <f>IF(OR(J863="",J863=0),"",P863/J863)</f>
        <v/>
      </c>
      <c r="R863" s="25">
        <f>IF(OR(A863="",B863=""),"",B863-A863)</f>
        <v/>
      </c>
      <c r="S863" s="26">
        <f>IF(B863="","",YEAR(B863))</f>
        <v/>
      </c>
      <c r="T863" s="27">
        <f>IF(B863="","",IF(OR(F863="Electric",F863="Plug-in",F863="Hibrid"),1,0))</f>
        <v/>
      </c>
    </row>
    <row r="864">
      <c r="A864" s="18" t="n"/>
      <c r="B864" s="18" t="n"/>
      <c r="C864" s="19" t="n"/>
      <c r="D864" s="19" t="n"/>
      <c r="E864" s="20" t="n"/>
      <c r="F864" s="19" t="n"/>
      <c r="G864" s="21" t="n"/>
      <c r="H864" s="22" t="n"/>
      <c r="I864" s="22" t="n"/>
      <c r="J864" s="22" t="n"/>
      <c r="K864" s="19" t="n"/>
      <c r="L864" s="19" t="n"/>
      <c r="M864" s="19" t="n"/>
      <c r="N864" s="19" t="n"/>
      <c r="O864" s="23">
        <f>IF(J864="","",H864+I864)</f>
        <v/>
      </c>
      <c r="P864" s="23">
        <f>IF(J864="","",J864-O864)</f>
        <v/>
      </c>
      <c r="Q864" s="24">
        <f>IF(OR(J864="",J864=0),"",P864/J864)</f>
        <v/>
      </c>
      <c r="R864" s="25">
        <f>IF(OR(A864="",B864=""),"",B864-A864)</f>
        <v/>
      </c>
      <c r="S864" s="26">
        <f>IF(B864="","",YEAR(B864))</f>
        <v/>
      </c>
      <c r="T864" s="27">
        <f>IF(B864="","",IF(OR(F864="Electric",F864="Plug-in",F864="Hibrid"),1,0))</f>
        <v/>
      </c>
    </row>
    <row r="865">
      <c r="A865" s="18" t="n"/>
      <c r="B865" s="18" t="n"/>
      <c r="C865" s="19" t="n"/>
      <c r="D865" s="19" t="n"/>
      <c r="E865" s="20" t="n"/>
      <c r="F865" s="19" t="n"/>
      <c r="G865" s="21" t="n"/>
      <c r="H865" s="22" t="n"/>
      <c r="I865" s="22" t="n"/>
      <c r="J865" s="22" t="n"/>
      <c r="K865" s="19" t="n"/>
      <c r="L865" s="19" t="n"/>
      <c r="M865" s="19" t="n"/>
      <c r="N865" s="19" t="n"/>
      <c r="O865" s="23">
        <f>IF(J865="","",H865+I865)</f>
        <v/>
      </c>
      <c r="P865" s="23">
        <f>IF(J865="","",J865-O865)</f>
        <v/>
      </c>
      <c r="Q865" s="24">
        <f>IF(OR(J865="",J865=0),"",P865/J865)</f>
        <v/>
      </c>
      <c r="R865" s="25">
        <f>IF(OR(A865="",B865=""),"",B865-A865)</f>
        <v/>
      </c>
      <c r="S865" s="26">
        <f>IF(B865="","",YEAR(B865))</f>
        <v/>
      </c>
      <c r="T865" s="27">
        <f>IF(B865="","",IF(OR(F865="Electric",F865="Plug-in",F865="Hibrid"),1,0))</f>
        <v/>
      </c>
    </row>
    <row r="866">
      <c r="A866" s="18" t="n"/>
      <c r="B866" s="18" t="n"/>
      <c r="C866" s="19" t="n"/>
      <c r="D866" s="19" t="n"/>
      <c r="E866" s="20" t="n"/>
      <c r="F866" s="19" t="n"/>
      <c r="G866" s="21" t="n"/>
      <c r="H866" s="22" t="n"/>
      <c r="I866" s="22" t="n"/>
      <c r="J866" s="22" t="n"/>
      <c r="K866" s="19" t="n"/>
      <c r="L866" s="19" t="n"/>
      <c r="M866" s="19" t="n"/>
      <c r="N866" s="19" t="n"/>
      <c r="O866" s="23">
        <f>IF(J866="","",H866+I866)</f>
        <v/>
      </c>
      <c r="P866" s="23">
        <f>IF(J866="","",J866-O866)</f>
        <v/>
      </c>
      <c r="Q866" s="24">
        <f>IF(OR(J866="",J866=0),"",P866/J866)</f>
        <v/>
      </c>
      <c r="R866" s="25">
        <f>IF(OR(A866="",B866=""),"",B866-A866)</f>
        <v/>
      </c>
      <c r="S866" s="26">
        <f>IF(B866="","",YEAR(B866))</f>
        <v/>
      </c>
      <c r="T866" s="27">
        <f>IF(B866="","",IF(OR(F866="Electric",F866="Plug-in",F866="Hibrid"),1,0))</f>
        <v/>
      </c>
    </row>
    <row r="867">
      <c r="A867" s="18" t="n"/>
      <c r="B867" s="18" t="n"/>
      <c r="C867" s="19" t="n"/>
      <c r="D867" s="19" t="n"/>
      <c r="E867" s="20" t="n"/>
      <c r="F867" s="19" t="n"/>
      <c r="G867" s="21" t="n"/>
      <c r="H867" s="22" t="n"/>
      <c r="I867" s="22" t="n"/>
      <c r="J867" s="22" t="n"/>
      <c r="K867" s="19" t="n"/>
      <c r="L867" s="19" t="n"/>
      <c r="M867" s="19" t="n"/>
      <c r="N867" s="19" t="n"/>
      <c r="O867" s="23">
        <f>IF(J867="","",H867+I867)</f>
        <v/>
      </c>
      <c r="P867" s="23">
        <f>IF(J867="","",J867-O867)</f>
        <v/>
      </c>
      <c r="Q867" s="24">
        <f>IF(OR(J867="",J867=0),"",P867/J867)</f>
        <v/>
      </c>
      <c r="R867" s="25">
        <f>IF(OR(A867="",B867=""),"",B867-A867)</f>
        <v/>
      </c>
      <c r="S867" s="26">
        <f>IF(B867="","",YEAR(B867))</f>
        <v/>
      </c>
      <c r="T867" s="27">
        <f>IF(B867="","",IF(OR(F867="Electric",F867="Plug-in",F867="Hibrid"),1,0))</f>
        <v/>
      </c>
    </row>
    <row r="868">
      <c r="A868" s="18" t="n"/>
      <c r="B868" s="18" t="n"/>
      <c r="C868" s="19" t="n"/>
      <c r="D868" s="19" t="n"/>
      <c r="E868" s="20" t="n"/>
      <c r="F868" s="19" t="n"/>
      <c r="G868" s="21" t="n"/>
      <c r="H868" s="22" t="n"/>
      <c r="I868" s="22" t="n"/>
      <c r="J868" s="22" t="n"/>
      <c r="K868" s="19" t="n"/>
      <c r="L868" s="19" t="n"/>
      <c r="M868" s="19" t="n"/>
      <c r="N868" s="19" t="n"/>
      <c r="O868" s="23">
        <f>IF(J868="","",H868+I868)</f>
        <v/>
      </c>
      <c r="P868" s="23">
        <f>IF(J868="","",J868-O868)</f>
        <v/>
      </c>
      <c r="Q868" s="24">
        <f>IF(OR(J868="",J868=0),"",P868/J868)</f>
        <v/>
      </c>
      <c r="R868" s="25">
        <f>IF(OR(A868="",B868=""),"",B868-A868)</f>
        <v/>
      </c>
      <c r="S868" s="26">
        <f>IF(B868="","",YEAR(B868))</f>
        <v/>
      </c>
      <c r="T868" s="27">
        <f>IF(B868="","",IF(OR(F868="Electric",F868="Plug-in",F868="Hibrid"),1,0))</f>
        <v/>
      </c>
    </row>
    <row r="869">
      <c r="A869" s="18" t="n"/>
      <c r="B869" s="18" t="n"/>
      <c r="C869" s="19" t="n"/>
      <c r="D869" s="19" t="n"/>
      <c r="E869" s="20" t="n"/>
      <c r="F869" s="19" t="n"/>
      <c r="G869" s="21" t="n"/>
      <c r="H869" s="22" t="n"/>
      <c r="I869" s="22" t="n"/>
      <c r="J869" s="22" t="n"/>
      <c r="K869" s="19" t="n"/>
      <c r="L869" s="19" t="n"/>
      <c r="M869" s="19" t="n"/>
      <c r="N869" s="19" t="n"/>
      <c r="O869" s="23">
        <f>IF(J869="","",H869+I869)</f>
        <v/>
      </c>
      <c r="P869" s="23">
        <f>IF(J869="","",J869-O869)</f>
        <v/>
      </c>
      <c r="Q869" s="24">
        <f>IF(OR(J869="",J869=0),"",P869/J869)</f>
        <v/>
      </c>
      <c r="R869" s="25">
        <f>IF(OR(A869="",B869=""),"",B869-A869)</f>
        <v/>
      </c>
      <c r="S869" s="26">
        <f>IF(B869="","",YEAR(B869))</f>
        <v/>
      </c>
      <c r="T869" s="27">
        <f>IF(B869="","",IF(OR(F869="Electric",F869="Plug-in",F869="Hibrid"),1,0))</f>
        <v/>
      </c>
    </row>
    <row r="870">
      <c r="A870" s="18" t="n"/>
      <c r="B870" s="18" t="n"/>
      <c r="C870" s="19" t="n"/>
      <c r="D870" s="19" t="n"/>
      <c r="E870" s="20" t="n"/>
      <c r="F870" s="19" t="n"/>
      <c r="G870" s="21" t="n"/>
      <c r="H870" s="22" t="n"/>
      <c r="I870" s="22" t="n"/>
      <c r="J870" s="22" t="n"/>
      <c r="K870" s="19" t="n"/>
      <c r="L870" s="19" t="n"/>
      <c r="M870" s="19" t="n"/>
      <c r="N870" s="19" t="n"/>
      <c r="O870" s="23">
        <f>IF(J870="","",H870+I870)</f>
        <v/>
      </c>
      <c r="P870" s="23">
        <f>IF(J870="","",J870-O870)</f>
        <v/>
      </c>
      <c r="Q870" s="24">
        <f>IF(OR(J870="",J870=0),"",P870/J870)</f>
        <v/>
      </c>
      <c r="R870" s="25">
        <f>IF(OR(A870="",B870=""),"",B870-A870)</f>
        <v/>
      </c>
      <c r="S870" s="26">
        <f>IF(B870="","",YEAR(B870))</f>
        <v/>
      </c>
      <c r="T870" s="27">
        <f>IF(B870="","",IF(OR(F870="Electric",F870="Plug-in",F870="Hibrid"),1,0))</f>
        <v/>
      </c>
    </row>
    <row r="871">
      <c r="A871" s="18" t="n"/>
      <c r="B871" s="18" t="n"/>
      <c r="C871" s="19" t="n"/>
      <c r="D871" s="19" t="n"/>
      <c r="E871" s="20" t="n"/>
      <c r="F871" s="19" t="n"/>
      <c r="G871" s="21" t="n"/>
      <c r="H871" s="22" t="n"/>
      <c r="I871" s="22" t="n"/>
      <c r="J871" s="22" t="n"/>
      <c r="K871" s="19" t="n"/>
      <c r="L871" s="19" t="n"/>
      <c r="M871" s="19" t="n"/>
      <c r="N871" s="19" t="n"/>
      <c r="O871" s="23">
        <f>IF(J871="","",H871+I871)</f>
        <v/>
      </c>
      <c r="P871" s="23">
        <f>IF(J871="","",J871-O871)</f>
        <v/>
      </c>
      <c r="Q871" s="24">
        <f>IF(OR(J871="",J871=0),"",P871/J871)</f>
        <v/>
      </c>
      <c r="R871" s="25">
        <f>IF(OR(A871="",B871=""),"",B871-A871)</f>
        <v/>
      </c>
      <c r="S871" s="26">
        <f>IF(B871="","",YEAR(B871))</f>
        <v/>
      </c>
      <c r="T871" s="27">
        <f>IF(B871="","",IF(OR(F871="Electric",F871="Plug-in",F871="Hibrid"),1,0))</f>
        <v/>
      </c>
    </row>
    <row r="872">
      <c r="A872" s="18" t="n"/>
      <c r="B872" s="18" t="n"/>
      <c r="C872" s="19" t="n"/>
      <c r="D872" s="19" t="n"/>
      <c r="E872" s="20" t="n"/>
      <c r="F872" s="19" t="n"/>
      <c r="G872" s="21" t="n"/>
      <c r="H872" s="22" t="n"/>
      <c r="I872" s="22" t="n"/>
      <c r="J872" s="22" t="n"/>
      <c r="K872" s="19" t="n"/>
      <c r="L872" s="19" t="n"/>
      <c r="M872" s="19" t="n"/>
      <c r="N872" s="19" t="n"/>
      <c r="O872" s="23">
        <f>IF(J872="","",H872+I872)</f>
        <v/>
      </c>
      <c r="P872" s="23">
        <f>IF(J872="","",J872-O872)</f>
        <v/>
      </c>
      <c r="Q872" s="24">
        <f>IF(OR(J872="",J872=0),"",P872/J872)</f>
        <v/>
      </c>
      <c r="R872" s="25">
        <f>IF(OR(A872="",B872=""),"",B872-A872)</f>
        <v/>
      </c>
      <c r="S872" s="26">
        <f>IF(B872="","",YEAR(B872))</f>
        <v/>
      </c>
      <c r="T872" s="27">
        <f>IF(B872="","",IF(OR(F872="Electric",F872="Plug-in",F872="Hibrid"),1,0))</f>
        <v/>
      </c>
    </row>
    <row r="873">
      <c r="A873" s="18" t="n"/>
      <c r="B873" s="18" t="n"/>
      <c r="C873" s="19" t="n"/>
      <c r="D873" s="19" t="n"/>
      <c r="E873" s="20" t="n"/>
      <c r="F873" s="19" t="n"/>
      <c r="G873" s="21" t="n"/>
      <c r="H873" s="22" t="n"/>
      <c r="I873" s="22" t="n"/>
      <c r="J873" s="22" t="n"/>
      <c r="K873" s="19" t="n"/>
      <c r="L873" s="19" t="n"/>
      <c r="M873" s="19" t="n"/>
      <c r="N873" s="19" t="n"/>
      <c r="O873" s="23">
        <f>IF(J873="","",H873+I873)</f>
        <v/>
      </c>
      <c r="P873" s="23">
        <f>IF(J873="","",J873-O873)</f>
        <v/>
      </c>
      <c r="Q873" s="24">
        <f>IF(OR(J873="",J873=0),"",P873/J873)</f>
        <v/>
      </c>
      <c r="R873" s="25">
        <f>IF(OR(A873="",B873=""),"",B873-A873)</f>
        <v/>
      </c>
      <c r="S873" s="26">
        <f>IF(B873="","",YEAR(B873))</f>
        <v/>
      </c>
      <c r="T873" s="27">
        <f>IF(B873="","",IF(OR(F873="Electric",F873="Plug-in",F873="Hibrid"),1,0))</f>
        <v/>
      </c>
    </row>
    <row r="874">
      <c r="A874" s="18" t="n"/>
      <c r="B874" s="18" t="n"/>
      <c r="C874" s="19" t="n"/>
      <c r="D874" s="19" t="n"/>
      <c r="E874" s="20" t="n"/>
      <c r="F874" s="19" t="n"/>
      <c r="G874" s="21" t="n"/>
      <c r="H874" s="22" t="n"/>
      <c r="I874" s="22" t="n"/>
      <c r="J874" s="22" t="n"/>
      <c r="K874" s="19" t="n"/>
      <c r="L874" s="19" t="n"/>
      <c r="M874" s="19" t="n"/>
      <c r="N874" s="19" t="n"/>
      <c r="O874" s="23">
        <f>IF(J874="","",H874+I874)</f>
        <v/>
      </c>
      <c r="P874" s="23">
        <f>IF(J874="","",J874-O874)</f>
        <v/>
      </c>
      <c r="Q874" s="24">
        <f>IF(OR(J874="",J874=0),"",P874/J874)</f>
        <v/>
      </c>
      <c r="R874" s="25">
        <f>IF(OR(A874="",B874=""),"",B874-A874)</f>
        <v/>
      </c>
      <c r="S874" s="26">
        <f>IF(B874="","",YEAR(B874))</f>
        <v/>
      </c>
      <c r="T874" s="27">
        <f>IF(B874="","",IF(OR(F874="Electric",F874="Plug-in",F874="Hibrid"),1,0))</f>
        <v/>
      </c>
    </row>
    <row r="875">
      <c r="A875" s="18" t="n"/>
      <c r="B875" s="18" t="n"/>
      <c r="C875" s="19" t="n"/>
      <c r="D875" s="19" t="n"/>
      <c r="E875" s="20" t="n"/>
      <c r="F875" s="19" t="n"/>
      <c r="G875" s="21" t="n"/>
      <c r="H875" s="22" t="n"/>
      <c r="I875" s="22" t="n"/>
      <c r="J875" s="22" t="n"/>
      <c r="K875" s="19" t="n"/>
      <c r="L875" s="19" t="n"/>
      <c r="M875" s="19" t="n"/>
      <c r="N875" s="19" t="n"/>
      <c r="O875" s="23">
        <f>IF(J875="","",H875+I875)</f>
        <v/>
      </c>
      <c r="P875" s="23">
        <f>IF(J875="","",J875-O875)</f>
        <v/>
      </c>
      <c r="Q875" s="24">
        <f>IF(OR(J875="",J875=0),"",P875/J875)</f>
        <v/>
      </c>
      <c r="R875" s="25">
        <f>IF(OR(A875="",B875=""),"",B875-A875)</f>
        <v/>
      </c>
      <c r="S875" s="26">
        <f>IF(B875="","",YEAR(B875))</f>
        <v/>
      </c>
      <c r="T875" s="27">
        <f>IF(B875="","",IF(OR(F875="Electric",F875="Plug-in",F875="Hibrid"),1,0))</f>
        <v/>
      </c>
    </row>
    <row r="876">
      <c r="A876" s="18" t="n"/>
      <c r="B876" s="18" t="n"/>
      <c r="C876" s="19" t="n"/>
      <c r="D876" s="19" t="n"/>
      <c r="E876" s="20" t="n"/>
      <c r="F876" s="19" t="n"/>
      <c r="G876" s="21" t="n"/>
      <c r="H876" s="22" t="n"/>
      <c r="I876" s="22" t="n"/>
      <c r="J876" s="22" t="n"/>
      <c r="K876" s="19" t="n"/>
      <c r="L876" s="19" t="n"/>
      <c r="M876" s="19" t="n"/>
      <c r="N876" s="19" t="n"/>
      <c r="O876" s="23">
        <f>IF(J876="","",H876+I876)</f>
        <v/>
      </c>
      <c r="P876" s="23">
        <f>IF(J876="","",J876-O876)</f>
        <v/>
      </c>
      <c r="Q876" s="24">
        <f>IF(OR(J876="",J876=0),"",P876/J876)</f>
        <v/>
      </c>
      <c r="R876" s="25">
        <f>IF(OR(A876="",B876=""),"",B876-A876)</f>
        <v/>
      </c>
      <c r="S876" s="26">
        <f>IF(B876="","",YEAR(B876))</f>
        <v/>
      </c>
      <c r="T876" s="27">
        <f>IF(B876="","",IF(OR(F876="Electric",F876="Plug-in",F876="Hibrid"),1,0))</f>
        <v/>
      </c>
    </row>
    <row r="877">
      <c r="A877" s="18" t="n"/>
      <c r="B877" s="18" t="n"/>
      <c r="C877" s="19" t="n"/>
      <c r="D877" s="19" t="n"/>
      <c r="E877" s="20" t="n"/>
      <c r="F877" s="19" t="n"/>
      <c r="G877" s="21" t="n"/>
      <c r="H877" s="22" t="n"/>
      <c r="I877" s="22" t="n"/>
      <c r="J877" s="22" t="n"/>
      <c r="K877" s="19" t="n"/>
      <c r="L877" s="19" t="n"/>
      <c r="M877" s="19" t="n"/>
      <c r="N877" s="19" t="n"/>
      <c r="O877" s="23">
        <f>IF(J877="","",H877+I877)</f>
        <v/>
      </c>
      <c r="P877" s="23">
        <f>IF(J877="","",J877-O877)</f>
        <v/>
      </c>
      <c r="Q877" s="24">
        <f>IF(OR(J877="",J877=0),"",P877/J877)</f>
        <v/>
      </c>
      <c r="R877" s="25">
        <f>IF(OR(A877="",B877=""),"",B877-A877)</f>
        <v/>
      </c>
      <c r="S877" s="26">
        <f>IF(B877="","",YEAR(B877))</f>
        <v/>
      </c>
      <c r="T877" s="27">
        <f>IF(B877="","",IF(OR(F877="Electric",F877="Plug-in",F877="Hibrid"),1,0))</f>
        <v/>
      </c>
    </row>
    <row r="878">
      <c r="A878" s="18" t="n"/>
      <c r="B878" s="18" t="n"/>
      <c r="C878" s="19" t="n"/>
      <c r="D878" s="19" t="n"/>
      <c r="E878" s="20" t="n"/>
      <c r="F878" s="19" t="n"/>
      <c r="G878" s="21" t="n"/>
      <c r="H878" s="22" t="n"/>
      <c r="I878" s="22" t="n"/>
      <c r="J878" s="22" t="n"/>
      <c r="K878" s="19" t="n"/>
      <c r="L878" s="19" t="n"/>
      <c r="M878" s="19" t="n"/>
      <c r="N878" s="19" t="n"/>
      <c r="O878" s="23">
        <f>IF(J878="","",H878+I878)</f>
        <v/>
      </c>
      <c r="P878" s="23">
        <f>IF(J878="","",J878-O878)</f>
        <v/>
      </c>
      <c r="Q878" s="24">
        <f>IF(OR(J878="",J878=0),"",P878/J878)</f>
        <v/>
      </c>
      <c r="R878" s="25">
        <f>IF(OR(A878="",B878=""),"",B878-A878)</f>
        <v/>
      </c>
      <c r="S878" s="26">
        <f>IF(B878="","",YEAR(B878))</f>
        <v/>
      </c>
      <c r="T878" s="27">
        <f>IF(B878="","",IF(OR(F878="Electric",F878="Plug-in",F878="Hibrid"),1,0))</f>
        <v/>
      </c>
    </row>
    <row r="879">
      <c r="A879" s="18" t="n"/>
      <c r="B879" s="18" t="n"/>
      <c r="C879" s="19" t="n"/>
      <c r="D879" s="19" t="n"/>
      <c r="E879" s="20" t="n"/>
      <c r="F879" s="19" t="n"/>
      <c r="G879" s="21" t="n"/>
      <c r="H879" s="22" t="n"/>
      <c r="I879" s="22" t="n"/>
      <c r="J879" s="22" t="n"/>
      <c r="K879" s="19" t="n"/>
      <c r="L879" s="19" t="n"/>
      <c r="M879" s="19" t="n"/>
      <c r="N879" s="19" t="n"/>
      <c r="O879" s="23">
        <f>IF(J879="","",H879+I879)</f>
        <v/>
      </c>
      <c r="P879" s="23">
        <f>IF(J879="","",J879-O879)</f>
        <v/>
      </c>
      <c r="Q879" s="24">
        <f>IF(OR(J879="",J879=0),"",P879/J879)</f>
        <v/>
      </c>
      <c r="R879" s="25">
        <f>IF(OR(A879="",B879=""),"",B879-A879)</f>
        <v/>
      </c>
      <c r="S879" s="26">
        <f>IF(B879="","",YEAR(B879))</f>
        <v/>
      </c>
      <c r="T879" s="27">
        <f>IF(B879="","",IF(OR(F879="Electric",F879="Plug-in",F879="Hibrid"),1,0))</f>
        <v/>
      </c>
    </row>
    <row r="880">
      <c r="A880" s="18" t="n"/>
      <c r="B880" s="18" t="n"/>
      <c r="C880" s="19" t="n"/>
      <c r="D880" s="19" t="n"/>
      <c r="E880" s="20" t="n"/>
      <c r="F880" s="19" t="n"/>
      <c r="G880" s="21" t="n"/>
      <c r="H880" s="22" t="n"/>
      <c r="I880" s="22" t="n"/>
      <c r="J880" s="22" t="n"/>
      <c r="K880" s="19" t="n"/>
      <c r="L880" s="19" t="n"/>
      <c r="M880" s="19" t="n"/>
      <c r="N880" s="19" t="n"/>
      <c r="O880" s="23">
        <f>IF(J880="","",H880+I880)</f>
        <v/>
      </c>
      <c r="P880" s="23">
        <f>IF(J880="","",J880-O880)</f>
        <v/>
      </c>
      <c r="Q880" s="24">
        <f>IF(OR(J880="",J880=0),"",P880/J880)</f>
        <v/>
      </c>
      <c r="R880" s="25">
        <f>IF(OR(A880="",B880=""),"",B880-A880)</f>
        <v/>
      </c>
      <c r="S880" s="26">
        <f>IF(B880="","",YEAR(B880))</f>
        <v/>
      </c>
      <c r="T880" s="27">
        <f>IF(B880="","",IF(OR(F880="Electric",F880="Plug-in",F880="Hibrid"),1,0))</f>
        <v/>
      </c>
    </row>
    <row r="881">
      <c r="A881" s="18" t="n"/>
      <c r="B881" s="18" t="n"/>
      <c r="C881" s="19" t="n"/>
      <c r="D881" s="19" t="n"/>
      <c r="E881" s="20" t="n"/>
      <c r="F881" s="19" t="n"/>
      <c r="G881" s="21" t="n"/>
      <c r="H881" s="22" t="n"/>
      <c r="I881" s="22" t="n"/>
      <c r="J881" s="22" t="n"/>
      <c r="K881" s="19" t="n"/>
      <c r="L881" s="19" t="n"/>
      <c r="M881" s="19" t="n"/>
      <c r="N881" s="19" t="n"/>
      <c r="O881" s="23">
        <f>IF(J881="","",H881+I881)</f>
        <v/>
      </c>
      <c r="P881" s="23">
        <f>IF(J881="","",J881-O881)</f>
        <v/>
      </c>
      <c r="Q881" s="24">
        <f>IF(OR(J881="",J881=0),"",P881/J881)</f>
        <v/>
      </c>
      <c r="R881" s="25">
        <f>IF(OR(A881="",B881=""),"",B881-A881)</f>
        <v/>
      </c>
      <c r="S881" s="26">
        <f>IF(B881="","",YEAR(B881))</f>
        <v/>
      </c>
      <c r="T881" s="27">
        <f>IF(B881="","",IF(OR(F881="Electric",F881="Plug-in",F881="Hibrid"),1,0))</f>
        <v/>
      </c>
    </row>
    <row r="882">
      <c r="A882" s="18" t="n"/>
      <c r="B882" s="18" t="n"/>
      <c r="C882" s="19" t="n"/>
      <c r="D882" s="19" t="n"/>
      <c r="E882" s="20" t="n"/>
      <c r="F882" s="19" t="n"/>
      <c r="G882" s="21" t="n"/>
      <c r="H882" s="22" t="n"/>
      <c r="I882" s="22" t="n"/>
      <c r="J882" s="22" t="n"/>
      <c r="K882" s="19" t="n"/>
      <c r="L882" s="19" t="n"/>
      <c r="M882" s="19" t="n"/>
      <c r="N882" s="19" t="n"/>
      <c r="O882" s="23">
        <f>IF(J882="","",H882+I882)</f>
        <v/>
      </c>
      <c r="P882" s="23">
        <f>IF(J882="","",J882-O882)</f>
        <v/>
      </c>
      <c r="Q882" s="24">
        <f>IF(OR(J882="",J882=0),"",P882/J882)</f>
        <v/>
      </c>
      <c r="R882" s="25">
        <f>IF(OR(A882="",B882=""),"",B882-A882)</f>
        <v/>
      </c>
      <c r="S882" s="26">
        <f>IF(B882="","",YEAR(B882))</f>
        <v/>
      </c>
      <c r="T882" s="27">
        <f>IF(B882="","",IF(OR(F882="Electric",F882="Plug-in",F882="Hibrid"),1,0))</f>
        <v/>
      </c>
    </row>
    <row r="883">
      <c r="A883" s="18" t="n"/>
      <c r="B883" s="18" t="n"/>
      <c r="C883" s="19" t="n"/>
      <c r="D883" s="19" t="n"/>
      <c r="E883" s="20" t="n"/>
      <c r="F883" s="19" t="n"/>
      <c r="G883" s="21" t="n"/>
      <c r="H883" s="22" t="n"/>
      <c r="I883" s="22" t="n"/>
      <c r="J883" s="22" t="n"/>
      <c r="K883" s="19" t="n"/>
      <c r="L883" s="19" t="n"/>
      <c r="M883" s="19" t="n"/>
      <c r="N883" s="19" t="n"/>
      <c r="O883" s="23">
        <f>IF(J883="","",H883+I883)</f>
        <v/>
      </c>
      <c r="P883" s="23">
        <f>IF(J883="","",J883-O883)</f>
        <v/>
      </c>
      <c r="Q883" s="24">
        <f>IF(OR(J883="",J883=0),"",P883/J883)</f>
        <v/>
      </c>
      <c r="R883" s="25">
        <f>IF(OR(A883="",B883=""),"",B883-A883)</f>
        <v/>
      </c>
      <c r="S883" s="26">
        <f>IF(B883="","",YEAR(B883))</f>
        <v/>
      </c>
      <c r="T883" s="27">
        <f>IF(B883="","",IF(OR(F883="Electric",F883="Plug-in",F883="Hibrid"),1,0))</f>
        <v/>
      </c>
    </row>
    <row r="884">
      <c r="A884" s="18" t="n"/>
      <c r="B884" s="18" t="n"/>
      <c r="C884" s="19" t="n"/>
      <c r="D884" s="19" t="n"/>
      <c r="E884" s="20" t="n"/>
      <c r="F884" s="19" t="n"/>
      <c r="G884" s="21" t="n"/>
      <c r="H884" s="22" t="n"/>
      <c r="I884" s="22" t="n"/>
      <c r="J884" s="22" t="n"/>
      <c r="K884" s="19" t="n"/>
      <c r="L884" s="19" t="n"/>
      <c r="M884" s="19" t="n"/>
      <c r="N884" s="19" t="n"/>
      <c r="O884" s="23">
        <f>IF(J884="","",H884+I884)</f>
        <v/>
      </c>
      <c r="P884" s="23">
        <f>IF(J884="","",J884-O884)</f>
        <v/>
      </c>
      <c r="Q884" s="24">
        <f>IF(OR(J884="",J884=0),"",P884/J884)</f>
        <v/>
      </c>
      <c r="R884" s="25">
        <f>IF(OR(A884="",B884=""),"",B884-A884)</f>
        <v/>
      </c>
      <c r="S884" s="26">
        <f>IF(B884="","",YEAR(B884))</f>
        <v/>
      </c>
      <c r="T884" s="27">
        <f>IF(B884="","",IF(OR(F884="Electric",F884="Plug-in",F884="Hibrid"),1,0))</f>
        <v/>
      </c>
    </row>
    <row r="885">
      <c r="A885" s="18" t="n"/>
      <c r="B885" s="18" t="n"/>
      <c r="C885" s="19" t="n"/>
      <c r="D885" s="19" t="n"/>
      <c r="E885" s="20" t="n"/>
      <c r="F885" s="19" t="n"/>
      <c r="G885" s="21" t="n"/>
      <c r="H885" s="22" t="n"/>
      <c r="I885" s="22" t="n"/>
      <c r="J885" s="22" t="n"/>
      <c r="K885" s="19" t="n"/>
      <c r="L885" s="19" t="n"/>
      <c r="M885" s="19" t="n"/>
      <c r="N885" s="19" t="n"/>
      <c r="O885" s="23">
        <f>IF(J885="","",H885+I885)</f>
        <v/>
      </c>
      <c r="P885" s="23">
        <f>IF(J885="","",J885-O885)</f>
        <v/>
      </c>
      <c r="Q885" s="24">
        <f>IF(OR(J885="",J885=0),"",P885/J885)</f>
        <v/>
      </c>
      <c r="R885" s="25">
        <f>IF(OR(A885="",B885=""),"",B885-A885)</f>
        <v/>
      </c>
      <c r="S885" s="26">
        <f>IF(B885="","",YEAR(B885))</f>
        <v/>
      </c>
      <c r="T885" s="27">
        <f>IF(B885="","",IF(OR(F885="Electric",F885="Plug-in",F885="Hibrid"),1,0))</f>
        <v/>
      </c>
    </row>
    <row r="886">
      <c r="A886" s="18" t="n"/>
      <c r="B886" s="18" t="n"/>
      <c r="C886" s="19" t="n"/>
      <c r="D886" s="19" t="n"/>
      <c r="E886" s="20" t="n"/>
      <c r="F886" s="19" t="n"/>
      <c r="G886" s="21" t="n"/>
      <c r="H886" s="22" t="n"/>
      <c r="I886" s="22" t="n"/>
      <c r="J886" s="22" t="n"/>
      <c r="K886" s="19" t="n"/>
      <c r="L886" s="19" t="n"/>
      <c r="M886" s="19" t="n"/>
      <c r="N886" s="19" t="n"/>
      <c r="O886" s="23">
        <f>IF(J886="","",H886+I886)</f>
        <v/>
      </c>
      <c r="P886" s="23">
        <f>IF(J886="","",J886-O886)</f>
        <v/>
      </c>
      <c r="Q886" s="24">
        <f>IF(OR(J886="",J886=0),"",P886/J886)</f>
        <v/>
      </c>
      <c r="R886" s="25">
        <f>IF(OR(A886="",B886=""),"",B886-A886)</f>
        <v/>
      </c>
      <c r="S886" s="26">
        <f>IF(B886="","",YEAR(B886))</f>
        <v/>
      </c>
      <c r="T886" s="27">
        <f>IF(B886="","",IF(OR(F886="Electric",F886="Plug-in",F886="Hibrid"),1,0))</f>
        <v/>
      </c>
    </row>
    <row r="887">
      <c r="A887" s="18" t="n"/>
      <c r="B887" s="18" t="n"/>
      <c r="C887" s="19" t="n"/>
      <c r="D887" s="19" t="n"/>
      <c r="E887" s="20" t="n"/>
      <c r="F887" s="19" t="n"/>
      <c r="G887" s="21" t="n"/>
      <c r="H887" s="22" t="n"/>
      <c r="I887" s="22" t="n"/>
      <c r="J887" s="22" t="n"/>
      <c r="K887" s="19" t="n"/>
      <c r="L887" s="19" t="n"/>
      <c r="M887" s="19" t="n"/>
      <c r="N887" s="19" t="n"/>
      <c r="O887" s="23">
        <f>IF(J887="","",H887+I887)</f>
        <v/>
      </c>
      <c r="P887" s="23">
        <f>IF(J887="","",J887-O887)</f>
        <v/>
      </c>
      <c r="Q887" s="24">
        <f>IF(OR(J887="",J887=0),"",P887/J887)</f>
        <v/>
      </c>
      <c r="R887" s="25">
        <f>IF(OR(A887="",B887=""),"",B887-A887)</f>
        <v/>
      </c>
      <c r="S887" s="26">
        <f>IF(B887="","",YEAR(B887))</f>
        <v/>
      </c>
      <c r="T887" s="27">
        <f>IF(B887="","",IF(OR(F887="Electric",F887="Plug-in",F887="Hibrid"),1,0))</f>
        <v/>
      </c>
    </row>
    <row r="888">
      <c r="A888" s="18" t="n"/>
      <c r="B888" s="18" t="n"/>
      <c r="C888" s="19" t="n"/>
      <c r="D888" s="19" t="n"/>
      <c r="E888" s="20" t="n"/>
      <c r="F888" s="19" t="n"/>
      <c r="G888" s="21" t="n"/>
      <c r="H888" s="22" t="n"/>
      <c r="I888" s="22" t="n"/>
      <c r="J888" s="22" t="n"/>
      <c r="K888" s="19" t="n"/>
      <c r="L888" s="19" t="n"/>
      <c r="M888" s="19" t="n"/>
      <c r="N888" s="19" t="n"/>
      <c r="O888" s="23">
        <f>IF(J888="","",H888+I888)</f>
        <v/>
      </c>
      <c r="P888" s="23">
        <f>IF(J888="","",J888-O888)</f>
        <v/>
      </c>
      <c r="Q888" s="24">
        <f>IF(OR(J888="",J888=0),"",P888/J888)</f>
        <v/>
      </c>
      <c r="R888" s="25">
        <f>IF(OR(A888="",B888=""),"",B888-A888)</f>
        <v/>
      </c>
      <c r="S888" s="26">
        <f>IF(B888="","",YEAR(B888))</f>
        <v/>
      </c>
      <c r="T888" s="27">
        <f>IF(B888="","",IF(OR(F888="Electric",F888="Plug-in",F888="Hibrid"),1,0))</f>
        <v/>
      </c>
    </row>
    <row r="889">
      <c r="A889" s="18" t="n"/>
      <c r="B889" s="18" t="n"/>
      <c r="C889" s="19" t="n"/>
      <c r="D889" s="19" t="n"/>
      <c r="E889" s="20" t="n"/>
      <c r="F889" s="19" t="n"/>
      <c r="G889" s="21" t="n"/>
      <c r="H889" s="22" t="n"/>
      <c r="I889" s="22" t="n"/>
      <c r="J889" s="22" t="n"/>
      <c r="K889" s="19" t="n"/>
      <c r="L889" s="19" t="n"/>
      <c r="M889" s="19" t="n"/>
      <c r="N889" s="19" t="n"/>
      <c r="O889" s="23">
        <f>IF(J889="","",H889+I889)</f>
        <v/>
      </c>
      <c r="P889" s="23">
        <f>IF(J889="","",J889-O889)</f>
        <v/>
      </c>
      <c r="Q889" s="24">
        <f>IF(OR(J889="",J889=0),"",P889/J889)</f>
        <v/>
      </c>
      <c r="R889" s="25">
        <f>IF(OR(A889="",B889=""),"",B889-A889)</f>
        <v/>
      </c>
      <c r="S889" s="26">
        <f>IF(B889="","",YEAR(B889))</f>
        <v/>
      </c>
      <c r="T889" s="27">
        <f>IF(B889="","",IF(OR(F889="Electric",F889="Plug-in",F889="Hibrid"),1,0))</f>
        <v/>
      </c>
    </row>
    <row r="890">
      <c r="A890" s="18" t="n"/>
      <c r="B890" s="18" t="n"/>
      <c r="C890" s="19" t="n"/>
      <c r="D890" s="19" t="n"/>
      <c r="E890" s="20" t="n"/>
      <c r="F890" s="19" t="n"/>
      <c r="G890" s="21" t="n"/>
      <c r="H890" s="22" t="n"/>
      <c r="I890" s="22" t="n"/>
      <c r="J890" s="22" t="n"/>
      <c r="K890" s="19" t="n"/>
      <c r="L890" s="19" t="n"/>
      <c r="M890" s="19" t="n"/>
      <c r="N890" s="19" t="n"/>
      <c r="O890" s="23">
        <f>IF(J890="","",H890+I890)</f>
        <v/>
      </c>
      <c r="P890" s="23">
        <f>IF(J890="","",J890-O890)</f>
        <v/>
      </c>
      <c r="Q890" s="24">
        <f>IF(OR(J890="",J890=0),"",P890/J890)</f>
        <v/>
      </c>
      <c r="R890" s="25">
        <f>IF(OR(A890="",B890=""),"",B890-A890)</f>
        <v/>
      </c>
      <c r="S890" s="26">
        <f>IF(B890="","",YEAR(B890))</f>
        <v/>
      </c>
      <c r="T890" s="27">
        <f>IF(B890="","",IF(OR(F890="Electric",F890="Plug-in",F890="Hibrid"),1,0))</f>
        <v/>
      </c>
    </row>
    <row r="891">
      <c r="A891" s="18" t="n"/>
      <c r="B891" s="18" t="n"/>
      <c r="C891" s="19" t="n"/>
      <c r="D891" s="19" t="n"/>
      <c r="E891" s="20" t="n"/>
      <c r="F891" s="19" t="n"/>
      <c r="G891" s="21" t="n"/>
      <c r="H891" s="22" t="n"/>
      <c r="I891" s="22" t="n"/>
      <c r="J891" s="22" t="n"/>
      <c r="K891" s="19" t="n"/>
      <c r="L891" s="19" t="n"/>
      <c r="M891" s="19" t="n"/>
      <c r="N891" s="19" t="n"/>
      <c r="O891" s="23">
        <f>IF(J891="","",H891+I891)</f>
        <v/>
      </c>
      <c r="P891" s="23">
        <f>IF(J891="","",J891-O891)</f>
        <v/>
      </c>
      <c r="Q891" s="24">
        <f>IF(OR(J891="",J891=0),"",P891/J891)</f>
        <v/>
      </c>
      <c r="R891" s="25">
        <f>IF(OR(A891="",B891=""),"",B891-A891)</f>
        <v/>
      </c>
      <c r="S891" s="26">
        <f>IF(B891="","",YEAR(B891))</f>
        <v/>
      </c>
      <c r="T891" s="27">
        <f>IF(B891="","",IF(OR(F891="Electric",F891="Plug-in",F891="Hibrid"),1,0))</f>
        <v/>
      </c>
    </row>
    <row r="892">
      <c r="A892" s="18" t="n"/>
      <c r="B892" s="18" t="n"/>
      <c r="C892" s="19" t="n"/>
      <c r="D892" s="19" t="n"/>
      <c r="E892" s="20" t="n"/>
      <c r="F892" s="19" t="n"/>
      <c r="G892" s="21" t="n"/>
      <c r="H892" s="22" t="n"/>
      <c r="I892" s="22" t="n"/>
      <c r="J892" s="22" t="n"/>
      <c r="K892" s="19" t="n"/>
      <c r="L892" s="19" t="n"/>
      <c r="M892" s="19" t="n"/>
      <c r="N892" s="19" t="n"/>
      <c r="O892" s="23">
        <f>IF(J892="","",H892+I892)</f>
        <v/>
      </c>
      <c r="P892" s="23">
        <f>IF(J892="","",J892-O892)</f>
        <v/>
      </c>
      <c r="Q892" s="24">
        <f>IF(OR(J892="",J892=0),"",P892/J892)</f>
        <v/>
      </c>
      <c r="R892" s="25">
        <f>IF(OR(A892="",B892=""),"",B892-A892)</f>
        <v/>
      </c>
      <c r="S892" s="26">
        <f>IF(B892="","",YEAR(B892))</f>
        <v/>
      </c>
      <c r="T892" s="27">
        <f>IF(B892="","",IF(OR(F892="Electric",F892="Plug-in",F892="Hibrid"),1,0))</f>
        <v/>
      </c>
    </row>
    <row r="893">
      <c r="A893" s="18" t="n"/>
      <c r="B893" s="18" t="n"/>
      <c r="C893" s="19" t="n"/>
      <c r="D893" s="19" t="n"/>
      <c r="E893" s="20" t="n"/>
      <c r="F893" s="19" t="n"/>
      <c r="G893" s="21" t="n"/>
      <c r="H893" s="22" t="n"/>
      <c r="I893" s="22" t="n"/>
      <c r="J893" s="22" t="n"/>
      <c r="K893" s="19" t="n"/>
      <c r="L893" s="19" t="n"/>
      <c r="M893" s="19" t="n"/>
      <c r="N893" s="19" t="n"/>
      <c r="O893" s="23">
        <f>IF(J893="","",H893+I893)</f>
        <v/>
      </c>
      <c r="P893" s="23">
        <f>IF(J893="","",J893-O893)</f>
        <v/>
      </c>
      <c r="Q893" s="24">
        <f>IF(OR(J893="",J893=0),"",P893/J893)</f>
        <v/>
      </c>
      <c r="R893" s="25">
        <f>IF(OR(A893="",B893=""),"",B893-A893)</f>
        <v/>
      </c>
      <c r="S893" s="26">
        <f>IF(B893="","",YEAR(B893))</f>
        <v/>
      </c>
      <c r="T893" s="27">
        <f>IF(B893="","",IF(OR(F893="Electric",F893="Plug-in",F893="Hibrid"),1,0))</f>
        <v/>
      </c>
    </row>
    <row r="894">
      <c r="A894" s="18" t="n"/>
      <c r="B894" s="18" t="n"/>
      <c r="C894" s="19" t="n"/>
      <c r="D894" s="19" t="n"/>
      <c r="E894" s="20" t="n"/>
      <c r="F894" s="19" t="n"/>
      <c r="G894" s="21" t="n"/>
      <c r="H894" s="22" t="n"/>
      <c r="I894" s="22" t="n"/>
      <c r="J894" s="22" t="n"/>
      <c r="K894" s="19" t="n"/>
      <c r="L894" s="19" t="n"/>
      <c r="M894" s="19" t="n"/>
      <c r="N894" s="19" t="n"/>
      <c r="O894" s="23">
        <f>IF(J894="","",H894+I894)</f>
        <v/>
      </c>
      <c r="P894" s="23">
        <f>IF(J894="","",J894-O894)</f>
        <v/>
      </c>
      <c r="Q894" s="24">
        <f>IF(OR(J894="",J894=0),"",P894/J894)</f>
        <v/>
      </c>
      <c r="R894" s="25">
        <f>IF(OR(A894="",B894=""),"",B894-A894)</f>
        <v/>
      </c>
      <c r="S894" s="26">
        <f>IF(B894="","",YEAR(B894))</f>
        <v/>
      </c>
      <c r="T894" s="27">
        <f>IF(B894="","",IF(OR(F894="Electric",F894="Plug-in",F894="Hibrid"),1,0))</f>
        <v/>
      </c>
    </row>
    <row r="895">
      <c r="A895" s="18" t="n"/>
      <c r="B895" s="18" t="n"/>
      <c r="C895" s="19" t="n"/>
      <c r="D895" s="19" t="n"/>
      <c r="E895" s="20" t="n"/>
      <c r="F895" s="19" t="n"/>
      <c r="G895" s="21" t="n"/>
      <c r="H895" s="22" t="n"/>
      <c r="I895" s="22" t="n"/>
      <c r="J895" s="22" t="n"/>
      <c r="K895" s="19" t="n"/>
      <c r="L895" s="19" t="n"/>
      <c r="M895" s="19" t="n"/>
      <c r="N895" s="19" t="n"/>
      <c r="O895" s="23">
        <f>IF(J895="","",H895+I895)</f>
        <v/>
      </c>
      <c r="P895" s="23">
        <f>IF(J895="","",J895-O895)</f>
        <v/>
      </c>
      <c r="Q895" s="24">
        <f>IF(OR(J895="",J895=0),"",P895/J895)</f>
        <v/>
      </c>
      <c r="R895" s="25">
        <f>IF(OR(A895="",B895=""),"",B895-A895)</f>
        <v/>
      </c>
      <c r="S895" s="26">
        <f>IF(B895="","",YEAR(B895))</f>
        <v/>
      </c>
      <c r="T895" s="27">
        <f>IF(B895="","",IF(OR(F895="Electric",F895="Plug-in",F895="Hibrid"),1,0))</f>
        <v/>
      </c>
    </row>
    <row r="896">
      <c r="A896" s="18" t="n"/>
      <c r="B896" s="18" t="n"/>
      <c r="C896" s="19" t="n"/>
      <c r="D896" s="19" t="n"/>
      <c r="E896" s="20" t="n"/>
      <c r="F896" s="19" t="n"/>
      <c r="G896" s="21" t="n"/>
      <c r="H896" s="22" t="n"/>
      <c r="I896" s="22" t="n"/>
      <c r="J896" s="22" t="n"/>
      <c r="K896" s="19" t="n"/>
      <c r="L896" s="19" t="n"/>
      <c r="M896" s="19" t="n"/>
      <c r="N896" s="19" t="n"/>
      <c r="O896" s="23">
        <f>IF(J896="","",H896+I896)</f>
        <v/>
      </c>
      <c r="P896" s="23">
        <f>IF(J896="","",J896-O896)</f>
        <v/>
      </c>
      <c r="Q896" s="24">
        <f>IF(OR(J896="",J896=0),"",P896/J896)</f>
        <v/>
      </c>
      <c r="R896" s="25">
        <f>IF(OR(A896="",B896=""),"",B896-A896)</f>
        <v/>
      </c>
      <c r="S896" s="26">
        <f>IF(B896="","",YEAR(B896))</f>
        <v/>
      </c>
      <c r="T896" s="27">
        <f>IF(B896="","",IF(OR(F896="Electric",F896="Plug-in",F896="Hibrid"),1,0))</f>
        <v/>
      </c>
    </row>
    <row r="897">
      <c r="A897" s="18" t="n"/>
      <c r="B897" s="18" t="n"/>
      <c r="C897" s="19" t="n"/>
      <c r="D897" s="19" t="n"/>
      <c r="E897" s="20" t="n"/>
      <c r="F897" s="19" t="n"/>
      <c r="G897" s="21" t="n"/>
      <c r="H897" s="22" t="n"/>
      <c r="I897" s="22" t="n"/>
      <c r="J897" s="22" t="n"/>
      <c r="K897" s="19" t="n"/>
      <c r="L897" s="19" t="n"/>
      <c r="M897" s="19" t="n"/>
      <c r="N897" s="19" t="n"/>
      <c r="O897" s="23">
        <f>IF(J897="","",H897+I897)</f>
        <v/>
      </c>
      <c r="P897" s="23">
        <f>IF(J897="","",J897-O897)</f>
        <v/>
      </c>
      <c r="Q897" s="24">
        <f>IF(OR(J897="",J897=0),"",P897/J897)</f>
        <v/>
      </c>
      <c r="R897" s="25">
        <f>IF(OR(A897="",B897=""),"",B897-A897)</f>
        <v/>
      </c>
      <c r="S897" s="26">
        <f>IF(B897="","",YEAR(B897))</f>
        <v/>
      </c>
      <c r="T897" s="27">
        <f>IF(B897="","",IF(OR(F897="Electric",F897="Plug-in",F897="Hibrid"),1,0))</f>
        <v/>
      </c>
    </row>
    <row r="898">
      <c r="A898" s="18" t="n"/>
      <c r="B898" s="18" t="n"/>
      <c r="C898" s="19" t="n"/>
      <c r="D898" s="19" t="n"/>
      <c r="E898" s="20" t="n"/>
      <c r="F898" s="19" t="n"/>
      <c r="G898" s="21" t="n"/>
      <c r="H898" s="22" t="n"/>
      <c r="I898" s="22" t="n"/>
      <c r="J898" s="22" t="n"/>
      <c r="K898" s="19" t="n"/>
      <c r="L898" s="19" t="n"/>
      <c r="M898" s="19" t="n"/>
      <c r="N898" s="19" t="n"/>
      <c r="O898" s="23">
        <f>IF(J898="","",H898+I898)</f>
        <v/>
      </c>
      <c r="P898" s="23">
        <f>IF(J898="","",J898-O898)</f>
        <v/>
      </c>
      <c r="Q898" s="24">
        <f>IF(OR(J898="",J898=0),"",P898/J898)</f>
        <v/>
      </c>
      <c r="R898" s="25">
        <f>IF(OR(A898="",B898=""),"",B898-A898)</f>
        <v/>
      </c>
      <c r="S898" s="26">
        <f>IF(B898="","",YEAR(B898))</f>
        <v/>
      </c>
      <c r="T898" s="27">
        <f>IF(B898="","",IF(OR(F898="Electric",F898="Plug-in",F898="Hibrid"),1,0))</f>
        <v/>
      </c>
    </row>
    <row r="899">
      <c r="A899" s="18" t="n"/>
      <c r="B899" s="18" t="n"/>
      <c r="C899" s="19" t="n"/>
      <c r="D899" s="19" t="n"/>
      <c r="E899" s="20" t="n"/>
      <c r="F899" s="19" t="n"/>
      <c r="G899" s="21" t="n"/>
      <c r="H899" s="22" t="n"/>
      <c r="I899" s="22" t="n"/>
      <c r="J899" s="22" t="n"/>
      <c r="K899" s="19" t="n"/>
      <c r="L899" s="19" t="n"/>
      <c r="M899" s="19" t="n"/>
      <c r="N899" s="19" t="n"/>
      <c r="O899" s="23">
        <f>IF(J899="","",H899+I899)</f>
        <v/>
      </c>
      <c r="P899" s="23">
        <f>IF(J899="","",J899-O899)</f>
        <v/>
      </c>
      <c r="Q899" s="24">
        <f>IF(OR(J899="",J899=0),"",P899/J899)</f>
        <v/>
      </c>
      <c r="R899" s="25">
        <f>IF(OR(A899="",B899=""),"",B899-A899)</f>
        <v/>
      </c>
      <c r="S899" s="26">
        <f>IF(B899="","",YEAR(B899))</f>
        <v/>
      </c>
      <c r="T899" s="27">
        <f>IF(B899="","",IF(OR(F899="Electric",F899="Plug-in",F899="Hibrid"),1,0))</f>
        <v/>
      </c>
    </row>
    <row r="900">
      <c r="A900" s="18" t="n"/>
      <c r="B900" s="18" t="n"/>
      <c r="C900" s="19" t="n"/>
      <c r="D900" s="19" t="n"/>
      <c r="E900" s="20" t="n"/>
      <c r="F900" s="19" t="n"/>
      <c r="G900" s="21" t="n"/>
      <c r="H900" s="22" t="n"/>
      <c r="I900" s="22" t="n"/>
      <c r="J900" s="22" t="n"/>
      <c r="K900" s="19" t="n"/>
      <c r="L900" s="19" t="n"/>
      <c r="M900" s="19" t="n"/>
      <c r="N900" s="19" t="n"/>
      <c r="O900" s="23">
        <f>IF(J900="","",H900+I900)</f>
        <v/>
      </c>
      <c r="P900" s="23">
        <f>IF(J900="","",J900-O900)</f>
        <v/>
      </c>
      <c r="Q900" s="24">
        <f>IF(OR(J900="",J900=0),"",P900/J900)</f>
        <v/>
      </c>
      <c r="R900" s="25">
        <f>IF(OR(A900="",B900=""),"",B900-A900)</f>
        <v/>
      </c>
      <c r="S900" s="26">
        <f>IF(B900="","",YEAR(B900))</f>
        <v/>
      </c>
      <c r="T900" s="27">
        <f>IF(B900="","",IF(OR(F900="Electric",F900="Plug-in",F900="Hibrid"),1,0))</f>
        <v/>
      </c>
    </row>
    <row r="901">
      <c r="A901" s="18" t="n"/>
      <c r="B901" s="18" t="n"/>
      <c r="C901" s="19" t="n"/>
      <c r="D901" s="19" t="n"/>
      <c r="E901" s="20" t="n"/>
      <c r="F901" s="19" t="n"/>
      <c r="G901" s="21" t="n"/>
      <c r="H901" s="22" t="n"/>
      <c r="I901" s="22" t="n"/>
      <c r="J901" s="22" t="n"/>
      <c r="K901" s="19" t="n"/>
      <c r="L901" s="19" t="n"/>
      <c r="M901" s="19" t="n"/>
      <c r="N901" s="19" t="n"/>
      <c r="O901" s="23">
        <f>IF(J901="","",H901+I901)</f>
        <v/>
      </c>
      <c r="P901" s="23">
        <f>IF(J901="","",J901-O901)</f>
        <v/>
      </c>
      <c r="Q901" s="24">
        <f>IF(OR(J901="",J901=0),"",P901/J901)</f>
        <v/>
      </c>
      <c r="R901" s="25">
        <f>IF(OR(A901="",B901=""),"",B901-A901)</f>
        <v/>
      </c>
      <c r="S901" s="26">
        <f>IF(B901="","",YEAR(B901))</f>
        <v/>
      </c>
      <c r="T901" s="27">
        <f>IF(B901="","",IF(OR(F901="Electric",F901="Plug-in",F901="Hibrid"),1,0))</f>
        <v/>
      </c>
    </row>
    <row r="902">
      <c r="A902" s="18" t="n"/>
      <c r="B902" s="18" t="n"/>
      <c r="C902" s="19" t="n"/>
      <c r="D902" s="19" t="n"/>
      <c r="E902" s="20" t="n"/>
      <c r="F902" s="19" t="n"/>
      <c r="G902" s="21" t="n"/>
      <c r="H902" s="22" t="n"/>
      <c r="I902" s="22" t="n"/>
      <c r="J902" s="22" t="n"/>
      <c r="K902" s="19" t="n"/>
      <c r="L902" s="19" t="n"/>
      <c r="M902" s="19" t="n"/>
      <c r="N902" s="19" t="n"/>
      <c r="O902" s="23">
        <f>IF(J902="","",H902+I902)</f>
        <v/>
      </c>
      <c r="P902" s="23">
        <f>IF(J902="","",J902-O902)</f>
        <v/>
      </c>
      <c r="Q902" s="24">
        <f>IF(OR(J902="",J902=0),"",P902/J902)</f>
        <v/>
      </c>
      <c r="R902" s="25">
        <f>IF(OR(A902="",B902=""),"",B902-A902)</f>
        <v/>
      </c>
      <c r="S902" s="26">
        <f>IF(B902="","",YEAR(B902))</f>
        <v/>
      </c>
      <c r="T902" s="27">
        <f>IF(B902="","",IF(OR(F902="Electric",F902="Plug-in",F902="Hibrid"),1,0))</f>
        <v/>
      </c>
    </row>
    <row r="903">
      <c r="A903" s="18" t="n"/>
      <c r="B903" s="18" t="n"/>
      <c r="C903" s="19" t="n"/>
      <c r="D903" s="19" t="n"/>
      <c r="E903" s="20" t="n"/>
      <c r="F903" s="19" t="n"/>
      <c r="G903" s="21" t="n"/>
      <c r="H903" s="22" t="n"/>
      <c r="I903" s="22" t="n"/>
      <c r="J903" s="22" t="n"/>
      <c r="K903" s="19" t="n"/>
      <c r="L903" s="19" t="n"/>
      <c r="M903" s="19" t="n"/>
      <c r="N903" s="19" t="n"/>
      <c r="O903" s="23">
        <f>IF(J903="","",H903+I903)</f>
        <v/>
      </c>
      <c r="P903" s="23">
        <f>IF(J903="","",J903-O903)</f>
        <v/>
      </c>
      <c r="Q903" s="24">
        <f>IF(OR(J903="",J903=0),"",P903/J903)</f>
        <v/>
      </c>
      <c r="R903" s="25">
        <f>IF(OR(A903="",B903=""),"",B903-A903)</f>
        <v/>
      </c>
      <c r="S903" s="26">
        <f>IF(B903="","",YEAR(B903))</f>
        <v/>
      </c>
      <c r="T903" s="27">
        <f>IF(B903="","",IF(OR(F903="Electric",F903="Plug-in",F903="Hibrid"),1,0))</f>
        <v/>
      </c>
    </row>
    <row r="904">
      <c r="A904" s="18" t="n"/>
      <c r="B904" s="18" t="n"/>
      <c r="C904" s="19" t="n"/>
      <c r="D904" s="19" t="n"/>
      <c r="E904" s="20" t="n"/>
      <c r="F904" s="19" t="n"/>
      <c r="G904" s="21" t="n"/>
      <c r="H904" s="22" t="n"/>
      <c r="I904" s="22" t="n"/>
      <c r="J904" s="22" t="n"/>
      <c r="K904" s="19" t="n"/>
      <c r="L904" s="19" t="n"/>
      <c r="M904" s="19" t="n"/>
      <c r="N904" s="19" t="n"/>
      <c r="O904" s="23">
        <f>IF(J904="","",H904+I904)</f>
        <v/>
      </c>
      <c r="P904" s="23">
        <f>IF(J904="","",J904-O904)</f>
        <v/>
      </c>
      <c r="Q904" s="24">
        <f>IF(OR(J904="",J904=0),"",P904/J904)</f>
        <v/>
      </c>
      <c r="R904" s="25">
        <f>IF(OR(A904="",B904=""),"",B904-A904)</f>
        <v/>
      </c>
      <c r="S904" s="26">
        <f>IF(B904="","",YEAR(B904))</f>
        <v/>
      </c>
      <c r="T904" s="27">
        <f>IF(B904="","",IF(OR(F904="Electric",F904="Plug-in",F904="Hibrid"),1,0))</f>
        <v/>
      </c>
    </row>
    <row r="905">
      <c r="A905" s="18" t="n"/>
      <c r="B905" s="18" t="n"/>
      <c r="C905" s="19" t="n"/>
      <c r="D905" s="19" t="n"/>
      <c r="E905" s="20" t="n"/>
      <c r="F905" s="19" t="n"/>
      <c r="G905" s="21" t="n"/>
      <c r="H905" s="22" t="n"/>
      <c r="I905" s="22" t="n"/>
      <c r="J905" s="22" t="n"/>
      <c r="K905" s="19" t="n"/>
      <c r="L905" s="19" t="n"/>
      <c r="M905" s="19" t="n"/>
      <c r="N905" s="19" t="n"/>
      <c r="O905" s="23">
        <f>IF(J905="","",H905+I905)</f>
        <v/>
      </c>
      <c r="P905" s="23">
        <f>IF(J905="","",J905-O905)</f>
        <v/>
      </c>
      <c r="Q905" s="24">
        <f>IF(OR(J905="",J905=0),"",P905/J905)</f>
        <v/>
      </c>
      <c r="R905" s="25">
        <f>IF(OR(A905="",B905=""),"",B905-A905)</f>
        <v/>
      </c>
      <c r="S905" s="26">
        <f>IF(B905="","",YEAR(B905))</f>
        <v/>
      </c>
      <c r="T905" s="27">
        <f>IF(B905="","",IF(OR(F905="Electric",F905="Plug-in",F905="Hibrid"),1,0))</f>
        <v/>
      </c>
    </row>
    <row r="906">
      <c r="A906" s="18" t="n"/>
      <c r="B906" s="18" t="n"/>
      <c r="C906" s="19" t="n"/>
      <c r="D906" s="19" t="n"/>
      <c r="E906" s="20" t="n"/>
      <c r="F906" s="19" t="n"/>
      <c r="G906" s="21" t="n"/>
      <c r="H906" s="22" t="n"/>
      <c r="I906" s="22" t="n"/>
      <c r="J906" s="22" t="n"/>
      <c r="K906" s="19" t="n"/>
      <c r="L906" s="19" t="n"/>
      <c r="M906" s="19" t="n"/>
      <c r="N906" s="19" t="n"/>
      <c r="O906" s="23">
        <f>IF(J906="","",H906+I906)</f>
        <v/>
      </c>
      <c r="P906" s="23">
        <f>IF(J906="","",J906-O906)</f>
        <v/>
      </c>
      <c r="Q906" s="24">
        <f>IF(OR(J906="",J906=0),"",P906/J906)</f>
        <v/>
      </c>
      <c r="R906" s="25">
        <f>IF(OR(A906="",B906=""),"",B906-A906)</f>
        <v/>
      </c>
      <c r="S906" s="26">
        <f>IF(B906="","",YEAR(B906))</f>
        <v/>
      </c>
      <c r="T906" s="27">
        <f>IF(B906="","",IF(OR(F906="Electric",F906="Plug-in",F906="Hibrid"),1,0))</f>
        <v/>
      </c>
    </row>
    <row r="907">
      <c r="A907" s="18" t="n"/>
      <c r="B907" s="18" t="n"/>
      <c r="C907" s="19" t="n"/>
      <c r="D907" s="19" t="n"/>
      <c r="E907" s="20" t="n"/>
      <c r="F907" s="19" t="n"/>
      <c r="G907" s="21" t="n"/>
      <c r="H907" s="22" t="n"/>
      <c r="I907" s="22" t="n"/>
      <c r="J907" s="22" t="n"/>
      <c r="K907" s="19" t="n"/>
      <c r="L907" s="19" t="n"/>
      <c r="M907" s="19" t="n"/>
      <c r="N907" s="19" t="n"/>
      <c r="O907" s="23">
        <f>IF(J907="","",H907+I907)</f>
        <v/>
      </c>
      <c r="P907" s="23">
        <f>IF(J907="","",J907-O907)</f>
        <v/>
      </c>
      <c r="Q907" s="24">
        <f>IF(OR(J907="",J907=0),"",P907/J907)</f>
        <v/>
      </c>
      <c r="R907" s="25">
        <f>IF(OR(A907="",B907=""),"",B907-A907)</f>
        <v/>
      </c>
      <c r="S907" s="26">
        <f>IF(B907="","",YEAR(B907))</f>
        <v/>
      </c>
      <c r="T907" s="27">
        <f>IF(B907="","",IF(OR(F907="Electric",F907="Plug-in",F907="Hibrid"),1,0))</f>
        <v/>
      </c>
    </row>
    <row r="908">
      <c r="A908" s="18" t="n"/>
      <c r="B908" s="18" t="n"/>
      <c r="C908" s="19" t="n"/>
      <c r="D908" s="19" t="n"/>
      <c r="E908" s="20" t="n"/>
      <c r="F908" s="19" t="n"/>
      <c r="G908" s="21" t="n"/>
      <c r="H908" s="22" t="n"/>
      <c r="I908" s="22" t="n"/>
      <c r="J908" s="22" t="n"/>
      <c r="K908" s="19" t="n"/>
      <c r="L908" s="19" t="n"/>
      <c r="M908" s="19" t="n"/>
      <c r="N908" s="19" t="n"/>
      <c r="O908" s="23">
        <f>IF(J908="","",H908+I908)</f>
        <v/>
      </c>
      <c r="P908" s="23">
        <f>IF(J908="","",J908-O908)</f>
        <v/>
      </c>
      <c r="Q908" s="24">
        <f>IF(OR(J908="",J908=0),"",P908/J908)</f>
        <v/>
      </c>
      <c r="R908" s="25">
        <f>IF(OR(A908="",B908=""),"",B908-A908)</f>
        <v/>
      </c>
      <c r="S908" s="26">
        <f>IF(B908="","",YEAR(B908))</f>
        <v/>
      </c>
      <c r="T908" s="27">
        <f>IF(B908="","",IF(OR(F908="Electric",F908="Plug-in",F908="Hibrid"),1,0))</f>
        <v/>
      </c>
    </row>
    <row r="909">
      <c r="A909" s="18" t="n"/>
      <c r="B909" s="18" t="n"/>
      <c r="C909" s="19" t="n"/>
      <c r="D909" s="19" t="n"/>
      <c r="E909" s="20" t="n"/>
      <c r="F909" s="19" t="n"/>
      <c r="G909" s="21" t="n"/>
      <c r="H909" s="22" t="n"/>
      <c r="I909" s="22" t="n"/>
      <c r="J909" s="22" t="n"/>
      <c r="K909" s="19" t="n"/>
      <c r="L909" s="19" t="n"/>
      <c r="M909" s="19" t="n"/>
      <c r="N909" s="19" t="n"/>
      <c r="O909" s="23">
        <f>IF(J909="","",H909+I909)</f>
        <v/>
      </c>
      <c r="P909" s="23">
        <f>IF(J909="","",J909-O909)</f>
        <v/>
      </c>
      <c r="Q909" s="24">
        <f>IF(OR(J909="",J909=0),"",P909/J909)</f>
        <v/>
      </c>
      <c r="R909" s="25">
        <f>IF(OR(A909="",B909=""),"",B909-A909)</f>
        <v/>
      </c>
      <c r="S909" s="26">
        <f>IF(B909="","",YEAR(B909))</f>
        <v/>
      </c>
      <c r="T909" s="27">
        <f>IF(B909="","",IF(OR(F909="Electric",F909="Plug-in",F909="Hibrid"),1,0))</f>
        <v/>
      </c>
    </row>
    <row r="910">
      <c r="A910" s="18" t="n"/>
      <c r="B910" s="18" t="n"/>
      <c r="C910" s="19" t="n"/>
      <c r="D910" s="19" t="n"/>
      <c r="E910" s="20" t="n"/>
      <c r="F910" s="19" t="n"/>
      <c r="G910" s="21" t="n"/>
      <c r="H910" s="22" t="n"/>
      <c r="I910" s="22" t="n"/>
      <c r="J910" s="22" t="n"/>
      <c r="K910" s="19" t="n"/>
      <c r="L910" s="19" t="n"/>
      <c r="M910" s="19" t="n"/>
      <c r="N910" s="19" t="n"/>
      <c r="O910" s="23">
        <f>IF(J910="","",H910+I910)</f>
        <v/>
      </c>
      <c r="P910" s="23">
        <f>IF(J910="","",J910-O910)</f>
        <v/>
      </c>
      <c r="Q910" s="24">
        <f>IF(OR(J910="",J910=0),"",P910/J910)</f>
        <v/>
      </c>
      <c r="R910" s="25">
        <f>IF(OR(A910="",B910=""),"",B910-A910)</f>
        <v/>
      </c>
      <c r="S910" s="26">
        <f>IF(B910="","",YEAR(B910))</f>
        <v/>
      </c>
      <c r="T910" s="27">
        <f>IF(B910="","",IF(OR(F910="Electric",F910="Plug-in",F910="Hibrid"),1,0))</f>
        <v/>
      </c>
    </row>
    <row r="911">
      <c r="A911" s="18" t="n"/>
      <c r="B911" s="18" t="n"/>
      <c r="C911" s="19" t="n"/>
      <c r="D911" s="19" t="n"/>
      <c r="E911" s="20" t="n"/>
      <c r="F911" s="19" t="n"/>
      <c r="G911" s="21" t="n"/>
      <c r="H911" s="22" t="n"/>
      <c r="I911" s="22" t="n"/>
      <c r="J911" s="22" t="n"/>
      <c r="K911" s="19" t="n"/>
      <c r="L911" s="19" t="n"/>
      <c r="M911" s="19" t="n"/>
      <c r="N911" s="19" t="n"/>
      <c r="O911" s="23">
        <f>IF(J911="","",H911+I911)</f>
        <v/>
      </c>
      <c r="P911" s="23">
        <f>IF(J911="","",J911-O911)</f>
        <v/>
      </c>
      <c r="Q911" s="24">
        <f>IF(OR(J911="",J911=0),"",P911/J911)</f>
        <v/>
      </c>
      <c r="R911" s="25">
        <f>IF(OR(A911="",B911=""),"",B911-A911)</f>
        <v/>
      </c>
      <c r="S911" s="26">
        <f>IF(B911="","",YEAR(B911))</f>
        <v/>
      </c>
      <c r="T911" s="27">
        <f>IF(B911="","",IF(OR(F911="Electric",F911="Plug-in",F911="Hibrid"),1,0))</f>
        <v/>
      </c>
    </row>
    <row r="912">
      <c r="A912" s="18" t="n"/>
      <c r="B912" s="18" t="n"/>
      <c r="C912" s="19" t="n"/>
      <c r="D912" s="19" t="n"/>
      <c r="E912" s="20" t="n"/>
      <c r="F912" s="19" t="n"/>
      <c r="G912" s="21" t="n"/>
      <c r="H912" s="22" t="n"/>
      <c r="I912" s="22" t="n"/>
      <c r="J912" s="22" t="n"/>
      <c r="K912" s="19" t="n"/>
      <c r="L912" s="19" t="n"/>
      <c r="M912" s="19" t="n"/>
      <c r="N912" s="19" t="n"/>
      <c r="O912" s="23">
        <f>IF(J912="","",H912+I912)</f>
        <v/>
      </c>
      <c r="P912" s="23">
        <f>IF(J912="","",J912-O912)</f>
        <v/>
      </c>
      <c r="Q912" s="24">
        <f>IF(OR(J912="",J912=0),"",P912/J912)</f>
        <v/>
      </c>
      <c r="R912" s="25">
        <f>IF(OR(A912="",B912=""),"",B912-A912)</f>
        <v/>
      </c>
      <c r="S912" s="26">
        <f>IF(B912="","",YEAR(B912))</f>
        <v/>
      </c>
      <c r="T912" s="27">
        <f>IF(B912="","",IF(OR(F912="Electric",F912="Plug-in",F912="Hibrid"),1,0))</f>
        <v/>
      </c>
    </row>
    <row r="913">
      <c r="A913" s="18" t="n"/>
      <c r="B913" s="18" t="n"/>
      <c r="C913" s="19" t="n"/>
      <c r="D913" s="19" t="n"/>
      <c r="E913" s="20" t="n"/>
      <c r="F913" s="19" t="n"/>
      <c r="G913" s="21" t="n"/>
      <c r="H913" s="22" t="n"/>
      <c r="I913" s="22" t="n"/>
      <c r="J913" s="22" t="n"/>
      <c r="K913" s="19" t="n"/>
      <c r="L913" s="19" t="n"/>
      <c r="M913" s="19" t="n"/>
      <c r="N913" s="19" t="n"/>
      <c r="O913" s="23">
        <f>IF(J913="","",H913+I913)</f>
        <v/>
      </c>
      <c r="P913" s="23">
        <f>IF(J913="","",J913-O913)</f>
        <v/>
      </c>
      <c r="Q913" s="24">
        <f>IF(OR(J913="",J913=0),"",P913/J913)</f>
        <v/>
      </c>
      <c r="R913" s="25">
        <f>IF(OR(A913="",B913=""),"",B913-A913)</f>
        <v/>
      </c>
      <c r="S913" s="26">
        <f>IF(B913="","",YEAR(B913))</f>
        <v/>
      </c>
      <c r="T913" s="27">
        <f>IF(B913="","",IF(OR(F913="Electric",F913="Plug-in",F913="Hibrid"),1,0))</f>
        <v/>
      </c>
    </row>
    <row r="914">
      <c r="A914" s="18" t="n"/>
      <c r="B914" s="18" t="n"/>
      <c r="C914" s="19" t="n"/>
      <c r="D914" s="19" t="n"/>
      <c r="E914" s="20" t="n"/>
      <c r="F914" s="19" t="n"/>
      <c r="G914" s="21" t="n"/>
      <c r="H914" s="22" t="n"/>
      <c r="I914" s="22" t="n"/>
      <c r="J914" s="22" t="n"/>
      <c r="K914" s="19" t="n"/>
      <c r="L914" s="19" t="n"/>
      <c r="M914" s="19" t="n"/>
      <c r="N914" s="19" t="n"/>
      <c r="O914" s="23">
        <f>IF(J914="","",H914+I914)</f>
        <v/>
      </c>
      <c r="P914" s="23">
        <f>IF(J914="","",J914-O914)</f>
        <v/>
      </c>
      <c r="Q914" s="24">
        <f>IF(OR(J914="",J914=0),"",P914/J914)</f>
        <v/>
      </c>
      <c r="R914" s="25">
        <f>IF(OR(A914="",B914=""),"",B914-A914)</f>
        <v/>
      </c>
      <c r="S914" s="26">
        <f>IF(B914="","",YEAR(B914))</f>
        <v/>
      </c>
      <c r="T914" s="27">
        <f>IF(B914="","",IF(OR(F914="Electric",F914="Plug-in",F914="Hibrid"),1,0))</f>
        <v/>
      </c>
    </row>
    <row r="915">
      <c r="A915" s="18" t="n"/>
      <c r="B915" s="18" t="n"/>
      <c r="C915" s="19" t="n"/>
      <c r="D915" s="19" t="n"/>
      <c r="E915" s="20" t="n"/>
      <c r="F915" s="19" t="n"/>
      <c r="G915" s="21" t="n"/>
      <c r="H915" s="22" t="n"/>
      <c r="I915" s="22" t="n"/>
      <c r="J915" s="22" t="n"/>
      <c r="K915" s="19" t="n"/>
      <c r="L915" s="19" t="n"/>
      <c r="M915" s="19" t="n"/>
      <c r="N915" s="19" t="n"/>
      <c r="O915" s="23">
        <f>IF(J915="","",H915+I915)</f>
        <v/>
      </c>
      <c r="P915" s="23">
        <f>IF(J915="","",J915-O915)</f>
        <v/>
      </c>
      <c r="Q915" s="24">
        <f>IF(OR(J915="",J915=0),"",P915/J915)</f>
        <v/>
      </c>
      <c r="R915" s="25">
        <f>IF(OR(A915="",B915=""),"",B915-A915)</f>
        <v/>
      </c>
      <c r="S915" s="26">
        <f>IF(B915="","",YEAR(B915))</f>
        <v/>
      </c>
      <c r="T915" s="27">
        <f>IF(B915="","",IF(OR(F915="Electric",F915="Plug-in",F915="Hibrid"),1,0))</f>
        <v/>
      </c>
    </row>
    <row r="916">
      <c r="A916" s="18" t="n"/>
      <c r="B916" s="18" t="n"/>
      <c r="C916" s="19" t="n"/>
      <c r="D916" s="19" t="n"/>
      <c r="E916" s="20" t="n"/>
      <c r="F916" s="19" t="n"/>
      <c r="G916" s="21" t="n"/>
      <c r="H916" s="22" t="n"/>
      <c r="I916" s="22" t="n"/>
      <c r="J916" s="22" t="n"/>
      <c r="K916" s="19" t="n"/>
      <c r="L916" s="19" t="n"/>
      <c r="M916" s="19" t="n"/>
      <c r="N916" s="19" t="n"/>
      <c r="O916" s="23">
        <f>IF(J916="","",H916+I916)</f>
        <v/>
      </c>
      <c r="P916" s="23">
        <f>IF(J916="","",J916-O916)</f>
        <v/>
      </c>
      <c r="Q916" s="24">
        <f>IF(OR(J916="",J916=0),"",P916/J916)</f>
        <v/>
      </c>
      <c r="R916" s="25">
        <f>IF(OR(A916="",B916=""),"",B916-A916)</f>
        <v/>
      </c>
      <c r="S916" s="26">
        <f>IF(B916="","",YEAR(B916))</f>
        <v/>
      </c>
      <c r="T916" s="27">
        <f>IF(B916="","",IF(OR(F916="Electric",F916="Plug-in",F916="Hibrid"),1,0))</f>
        <v/>
      </c>
    </row>
    <row r="917">
      <c r="A917" s="18" t="n"/>
      <c r="B917" s="18" t="n"/>
      <c r="C917" s="19" t="n"/>
      <c r="D917" s="19" t="n"/>
      <c r="E917" s="20" t="n"/>
      <c r="F917" s="19" t="n"/>
      <c r="G917" s="21" t="n"/>
      <c r="H917" s="22" t="n"/>
      <c r="I917" s="22" t="n"/>
      <c r="J917" s="22" t="n"/>
      <c r="K917" s="19" t="n"/>
      <c r="L917" s="19" t="n"/>
      <c r="M917" s="19" t="n"/>
      <c r="N917" s="19" t="n"/>
      <c r="O917" s="23">
        <f>IF(J917="","",H917+I917)</f>
        <v/>
      </c>
      <c r="P917" s="23">
        <f>IF(J917="","",J917-O917)</f>
        <v/>
      </c>
      <c r="Q917" s="24">
        <f>IF(OR(J917="",J917=0),"",P917/J917)</f>
        <v/>
      </c>
      <c r="R917" s="25">
        <f>IF(OR(A917="",B917=""),"",B917-A917)</f>
        <v/>
      </c>
      <c r="S917" s="26">
        <f>IF(B917="","",YEAR(B917))</f>
        <v/>
      </c>
      <c r="T917" s="27">
        <f>IF(B917="","",IF(OR(F917="Electric",F917="Plug-in",F917="Hibrid"),1,0))</f>
        <v/>
      </c>
    </row>
    <row r="918">
      <c r="A918" s="18" t="n"/>
      <c r="B918" s="18" t="n"/>
      <c r="C918" s="19" t="n"/>
      <c r="D918" s="19" t="n"/>
      <c r="E918" s="20" t="n"/>
      <c r="F918" s="19" t="n"/>
      <c r="G918" s="21" t="n"/>
      <c r="H918" s="22" t="n"/>
      <c r="I918" s="22" t="n"/>
      <c r="J918" s="22" t="n"/>
      <c r="K918" s="19" t="n"/>
      <c r="L918" s="19" t="n"/>
      <c r="M918" s="19" t="n"/>
      <c r="N918" s="19" t="n"/>
      <c r="O918" s="23">
        <f>IF(J918="","",H918+I918)</f>
        <v/>
      </c>
      <c r="P918" s="23">
        <f>IF(J918="","",J918-O918)</f>
        <v/>
      </c>
      <c r="Q918" s="24">
        <f>IF(OR(J918="",J918=0),"",P918/J918)</f>
        <v/>
      </c>
      <c r="R918" s="25">
        <f>IF(OR(A918="",B918=""),"",B918-A918)</f>
        <v/>
      </c>
      <c r="S918" s="26">
        <f>IF(B918="","",YEAR(B918))</f>
        <v/>
      </c>
      <c r="T918" s="27">
        <f>IF(B918="","",IF(OR(F918="Electric",F918="Plug-in",F918="Hibrid"),1,0))</f>
        <v/>
      </c>
    </row>
    <row r="919">
      <c r="A919" s="18" t="n"/>
      <c r="B919" s="18" t="n"/>
      <c r="C919" s="19" t="n"/>
      <c r="D919" s="19" t="n"/>
      <c r="E919" s="20" t="n"/>
      <c r="F919" s="19" t="n"/>
      <c r="G919" s="21" t="n"/>
      <c r="H919" s="22" t="n"/>
      <c r="I919" s="22" t="n"/>
      <c r="J919" s="22" t="n"/>
      <c r="K919" s="19" t="n"/>
      <c r="L919" s="19" t="n"/>
      <c r="M919" s="19" t="n"/>
      <c r="N919" s="19" t="n"/>
      <c r="O919" s="23">
        <f>IF(J919="","",H919+I919)</f>
        <v/>
      </c>
      <c r="P919" s="23">
        <f>IF(J919="","",J919-O919)</f>
        <v/>
      </c>
      <c r="Q919" s="24">
        <f>IF(OR(J919="",J919=0),"",P919/J919)</f>
        <v/>
      </c>
      <c r="R919" s="25">
        <f>IF(OR(A919="",B919=""),"",B919-A919)</f>
        <v/>
      </c>
      <c r="S919" s="26">
        <f>IF(B919="","",YEAR(B919))</f>
        <v/>
      </c>
      <c r="T919" s="27">
        <f>IF(B919="","",IF(OR(F919="Electric",F919="Plug-in",F919="Hibrid"),1,0))</f>
        <v/>
      </c>
    </row>
    <row r="920">
      <c r="A920" s="18" t="n"/>
      <c r="B920" s="18" t="n"/>
      <c r="C920" s="19" t="n"/>
      <c r="D920" s="19" t="n"/>
      <c r="E920" s="20" t="n"/>
      <c r="F920" s="19" t="n"/>
      <c r="G920" s="21" t="n"/>
      <c r="H920" s="22" t="n"/>
      <c r="I920" s="22" t="n"/>
      <c r="J920" s="22" t="n"/>
      <c r="K920" s="19" t="n"/>
      <c r="L920" s="19" t="n"/>
      <c r="M920" s="19" t="n"/>
      <c r="N920" s="19" t="n"/>
      <c r="O920" s="23">
        <f>IF(J920="","",H920+I920)</f>
        <v/>
      </c>
      <c r="P920" s="23">
        <f>IF(J920="","",J920-O920)</f>
        <v/>
      </c>
      <c r="Q920" s="24">
        <f>IF(OR(J920="",J920=0),"",P920/J920)</f>
        <v/>
      </c>
      <c r="R920" s="25">
        <f>IF(OR(A920="",B920=""),"",B920-A920)</f>
        <v/>
      </c>
      <c r="S920" s="26">
        <f>IF(B920="","",YEAR(B920))</f>
        <v/>
      </c>
      <c r="T920" s="27">
        <f>IF(B920="","",IF(OR(F920="Electric",F920="Plug-in",F920="Hibrid"),1,0))</f>
        <v/>
      </c>
    </row>
    <row r="921">
      <c r="A921" s="18" t="n"/>
      <c r="B921" s="18" t="n"/>
      <c r="C921" s="19" t="n"/>
      <c r="D921" s="19" t="n"/>
      <c r="E921" s="20" t="n"/>
      <c r="F921" s="19" t="n"/>
      <c r="G921" s="21" t="n"/>
      <c r="H921" s="22" t="n"/>
      <c r="I921" s="22" t="n"/>
      <c r="J921" s="22" t="n"/>
      <c r="K921" s="19" t="n"/>
      <c r="L921" s="19" t="n"/>
      <c r="M921" s="19" t="n"/>
      <c r="N921" s="19" t="n"/>
      <c r="O921" s="23">
        <f>IF(J921="","",H921+I921)</f>
        <v/>
      </c>
      <c r="P921" s="23">
        <f>IF(J921="","",J921-O921)</f>
        <v/>
      </c>
      <c r="Q921" s="24">
        <f>IF(OR(J921="",J921=0),"",P921/J921)</f>
        <v/>
      </c>
      <c r="R921" s="25">
        <f>IF(OR(A921="",B921=""),"",B921-A921)</f>
        <v/>
      </c>
      <c r="S921" s="26">
        <f>IF(B921="","",YEAR(B921))</f>
        <v/>
      </c>
      <c r="T921" s="27">
        <f>IF(B921="","",IF(OR(F921="Electric",F921="Plug-in",F921="Hibrid"),1,0))</f>
        <v/>
      </c>
    </row>
    <row r="922">
      <c r="A922" s="18" t="n"/>
      <c r="B922" s="18" t="n"/>
      <c r="C922" s="19" t="n"/>
      <c r="D922" s="19" t="n"/>
      <c r="E922" s="20" t="n"/>
      <c r="F922" s="19" t="n"/>
      <c r="G922" s="21" t="n"/>
      <c r="H922" s="22" t="n"/>
      <c r="I922" s="22" t="n"/>
      <c r="J922" s="22" t="n"/>
      <c r="K922" s="19" t="n"/>
      <c r="L922" s="19" t="n"/>
      <c r="M922" s="19" t="n"/>
      <c r="N922" s="19" t="n"/>
      <c r="O922" s="23">
        <f>IF(J922="","",H922+I922)</f>
        <v/>
      </c>
      <c r="P922" s="23">
        <f>IF(J922="","",J922-O922)</f>
        <v/>
      </c>
      <c r="Q922" s="24">
        <f>IF(OR(J922="",J922=0),"",P922/J922)</f>
        <v/>
      </c>
      <c r="R922" s="25">
        <f>IF(OR(A922="",B922=""),"",B922-A922)</f>
        <v/>
      </c>
      <c r="S922" s="26">
        <f>IF(B922="","",YEAR(B922))</f>
        <v/>
      </c>
      <c r="T922" s="27">
        <f>IF(B922="","",IF(OR(F922="Electric",F922="Plug-in",F922="Hibrid"),1,0))</f>
        <v/>
      </c>
    </row>
    <row r="923">
      <c r="A923" s="18" t="n"/>
      <c r="B923" s="18" t="n"/>
      <c r="C923" s="19" t="n"/>
      <c r="D923" s="19" t="n"/>
      <c r="E923" s="20" t="n"/>
      <c r="F923" s="19" t="n"/>
      <c r="G923" s="21" t="n"/>
      <c r="H923" s="22" t="n"/>
      <c r="I923" s="22" t="n"/>
      <c r="J923" s="22" t="n"/>
      <c r="K923" s="19" t="n"/>
      <c r="L923" s="19" t="n"/>
      <c r="M923" s="19" t="n"/>
      <c r="N923" s="19" t="n"/>
      <c r="O923" s="23">
        <f>IF(J923="","",H923+I923)</f>
        <v/>
      </c>
      <c r="P923" s="23">
        <f>IF(J923="","",J923-O923)</f>
        <v/>
      </c>
      <c r="Q923" s="24">
        <f>IF(OR(J923="",J923=0),"",P923/J923)</f>
        <v/>
      </c>
      <c r="R923" s="25">
        <f>IF(OR(A923="",B923=""),"",B923-A923)</f>
        <v/>
      </c>
      <c r="S923" s="26">
        <f>IF(B923="","",YEAR(B923))</f>
        <v/>
      </c>
      <c r="T923" s="27">
        <f>IF(B923="","",IF(OR(F923="Electric",F923="Plug-in",F923="Hibrid"),1,0))</f>
        <v/>
      </c>
    </row>
    <row r="924">
      <c r="A924" s="18" t="n"/>
      <c r="B924" s="18" t="n"/>
      <c r="C924" s="19" t="n"/>
      <c r="D924" s="19" t="n"/>
      <c r="E924" s="20" t="n"/>
      <c r="F924" s="19" t="n"/>
      <c r="G924" s="21" t="n"/>
      <c r="H924" s="22" t="n"/>
      <c r="I924" s="22" t="n"/>
      <c r="J924" s="22" t="n"/>
      <c r="K924" s="19" t="n"/>
      <c r="L924" s="19" t="n"/>
      <c r="M924" s="19" t="n"/>
      <c r="N924" s="19" t="n"/>
      <c r="O924" s="23">
        <f>IF(J924="","",H924+I924)</f>
        <v/>
      </c>
      <c r="P924" s="23">
        <f>IF(J924="","",J924-O924)</f>
        <v/>
      </c>
      <c r="Q924" s="24">
        <f>IF(OR(J924="",J924=0),"",P924/J924)</f>
        <v/>
      </c>
      <c r="R924" s="25">
        <f>IF(OR(A924="",B924=""),"",B924-A924)</f>
        <v/>
      </c>
      <c r="S924" s="26">
        <f>IF(B924="","",YEAR(B924))</f>
        <v/>
      </c>
      <c r="T924" s="27">
        <f>IF(B924="","",IF(OR(F924="Electric",F924="Plug-in",F924="Hibrid"),1,0))</f>
        <v/>
      </c>
    </row>
    <row r="925">
      <c r="A925" s="18" t="n"/>
      <c r="B925" s="18" t="n"/>
      <c r="C925" s="19" t="n"/>
      <c r="D925" s="19" t="n"/>
      <c r="E925" s="20" t="n"/>
      <c r="F925" s="19" t="n"/>
      <c r="G925" s="21" t="n"/>
      <c r="H925" s="22" t="n"/>
      <c r="I925" s="22" t="n"/>
      <c r="J925" s="22" t="n"/>
      <c r="K925" s="19" t="n"/>
      <c r="L925" s="19" t="n"/>
      <c r="M925" s="19" t="n"/>
      <c r="N925" s="19" t="n"/>
      <c r="O925" s="23">
        <f>IF(J925="","",H925+I925)</f>
        <v/>
      </c>
      <c r="P925" s="23">
        <f>IF(J925="","",J925-O925)</f>
        <v/>
      </c>
      <c r="Q925" s="24">
        <f>IF(OR(J925="",J925=0),"",P925/J925)</f>
        <v/>
      </c>
      <c r="R925" s="25">
        <f>IF(OR(A925="",B925=""),"",B925-A925)</f>
        <v/>
      </c>
      <c r="S925" s="26">
        <f>IF(B925="","",YEAR(B925))</f>
        <v/>
      </c>
      <c r="T925" s="27">
        <f>IF(B925="","",IF(OR(F925="Electric",F925="Plug-in",F925="Hibrid"),1,0))</f>
        <v/>
      </c>
    </row>
    <row r="926">
      <c r="A926" s="18" t="n"/>
      <c r="B926" s="18" t="n"/>
      <c r="C926" s="19" t="n"/>
      <c r="D926" s="19" t="n"/>
      <c r="E926" s="20" t="n"/>
      <c r="F926" s="19" t="n"/>
      <c r="G926" s="21" t="n"/>
      <c r="H926" s="22" t="n"/>
      <c r="I926" s="22" t="n"/>
      <c r="J926" s="22" t="n"/>
      <c r="K926" s="19" t="n"/>
      <c r="L926" s="19" t="n"/>
      <c r="M926" s="19" t="n"/>
      <c r="N926" s="19" t="n"/>
      <c r="O926" s="23">
        <f>IF(J926="","",H926+I926)</f>
        <v/>
      </c>
      <c r="P926" s="23">
        <f>IF(J926="","",J926-O926)</f>
        <v/>
      </c>
      <c r="Q926" s="24">
        <f>IF(OR(J926="",J926=0),"",P926/J926)</f>
        <v/>
      </c>
      <c r="R926" s="25">
        <f>IF(OR(A926="",B926=""),"",B926-A926)</f>
        <v/>
      </c>
      <c r="S926" s="26">
        <f>IF(B926="","",YEAR(B926))</f>
        <v/>
      </c>
      <c r="T926" s="27">
        <f>IF(B926="","",IF(OR(F926="Electric",F926="Plug-in",F926="Hibrid"),1,0))</f>
        <v/>
      </c>
    </row>
    <row r="927">
      <c r="A927" s="18" t="n"/>
      <c r="B927" s="18" t="n"/>
      <c r="C927" s="19" t="n"/>
      <c r="D927" s="19" t="n"/>
      <c r="E927" s="20" t="n"/>
      <c r="F927" s="19" t="n"/>
      <c r="G927" s="21" t="n"/>
      <c r="H927" s="22" t="n"/>
      <c r="I927" s="22" t="n"/>
      <c r="J927" s="22" t="n"/>
      <c r="K927" s="19" t="n"/>
      <c r="L927" s="19" t="n"/>
      <c r="M927" s="19" t="n"/>
      <c r="N927" s="19" t="n"/>
      <c r="O927" s="23">
        <f>IF(J927="","",H927+I927)</f>
        <v/>
      </c>
      <c r="P927" s="23">
        <f>IF(J927="","",J927-O927)</f>
        <v/>
      </c>
      <c r="Q927" s="24">
        <f>IF(OR(J927="",J927=0),"",P927/J927)</f>
        <v/>
      </c>
      <c r="R927" s="25">
        <f>IF(OR(A927="",B927=""),"",B927-A927)</f>
        <v/>
      </c>
      <c r="S927" s="26">
        <f>IF(B927="","",YEAR(B927))</f>
        <v/>
      </c>
      <c r="T927" s="27">
        <f>IF(B927="","",IF(OR(F927="Electric",F927="Plug-in",F927="Hibrid"),1,0))</f>
        <v/>
      </c>
    </row>
    <row r="928">
      <c r="A928" s="18" t="n"/>
      <c r="B928" s="18" t="n"/>
      <c r="C928" s="19" t="n"/>
      <c r="D928" s="19" t="n"/>
      <c r="E928" s="20" t="n"/>
      <c r="F928" s="19" t="n"/>
      <c r="G928" s="21" t="n"/>
      <c r="H928" s="22" t="n"/>
      <c r="I928" s="22" t="n"/>
      <c r="J928" s="22" t="n"/>
      <c r="K928" s="19" t="n"/>
      <c r="L928" s="19" t="n"/>
      <c r="M928" s="19" t="n"/>
      <c r="N928" s="19" t="n"/>
      <c r="O928" s="23">
        <f>IF(J928="","",H928+I928)</f>
        <v/>
      </c>
      <c r="P928" s="23">
        <f>IF(J928="","",J928-O928)</f>
        <v/>
      </c>
      <c r="Q928" s="24">
        <f>IF(OR(J928="",J928=0),"",P928/J928)</f>
        <v/>
      </c>
      <c r="R928" s="25">
        <f>IF(OR(A928="",B928=""),"",B928-A928)</f>
        <v/>
      </c>
      <c r="S928" s="26">
        <f>IF(B928="","",YEAR(B928))</f>
        <v/>
      </c>
      <c r="T928" s="27">
        <f>IF(B928="","",IF(OR(F928="Electric",F928="Plug-in",F928="Hibrid"),1,0))</f>
        <v/>
      </c>
    </row>
    <row r="929">
      <c r="A929" s="18" t="n"/>
      <c r="B929" s="18" t="n"/>
      <c r="C929" s="19" t="n"/>
      <c r="D929" s="19" t="n"/>
      <c r="E929" s="20" t="n"/>
      <c r="F929" s="19" t="n"/>
      <c r="G929" s="21" t="n"/>
      <c r="H929" s="22" t="n"/>
      <c r="I929" s="22" t="n"/>
      <c r="J929" s="22" t="n"/>
      <c r="K929" s="19" t="n"/>
      <c r="L929" s="19" t="n"/>
      <c r="M929" s="19" t="n"/>
      <c r="N929" s="19" t="n"/>
      <c r="O929" s="23">
        <f>IF(J929="","",H929+I929)</f>
        <v/>
      </c>
      <c r="P929" s="23">
        <f>IF(J929="","",J929-O929)</f>
        <v/>
      </c>
      <c r="Q929" s="24">
        <f>IF(OR(J929="",J929=0),"",P929/J929)</f>
        <v/>
      </c>
      <c r="R929" s="25">
        <f>IF(OR(A929="",B929=""),"",B929-A929)</f>
        <v/>
      </c>
      <c r="S929" s="26">
        <f>IF(B929="","",YEAR(B929))</f>
        <v/>
      </c>
      <c r="T929" s="27">
        <f>IF(B929="","",IF(OR(F929="Electric",F929="Plug-in",F929="Hibrid"),1,0))</f>
        <v/>
      </c>
    </row>
    <row r="930">
      <c r="A930" s="18" t="n"/>
      <c r="B930" s="18" t="n"/>
      <c r="C930" s="19" t="n"/>
      <c r="D930" s="19" t="n"/>
      <c r="E930" s="20" t="n"/>
      <c r="F930" s="19" t="n"/>
      <c r="G930" s="21" t="n"/>
      <c r="H930" s="22" t="n"/>
      <c r="I930" s="22" t="n"/>
      <c r="J930" s="22" t="n"/>
      <c r="K930" s="19" t="n"/>
      <c r="L930" s="19" t="n"/>
      <c r="M930" s="19" t="n"/>
      <c r="N930" s="19" t="n"/>
      <c r="O930" s="23">
        <f>IF(J930="","",H930+I930)</f>
        <v/>
      </c>
      <c r="P930" s="23">
        <f>IF(J930="","",J930-O930)</f>
        <v/>
      </c>
      <c r="Q930" s="24">
        <f>IF(OR(J930="",J930=0),"",P930/J930)</f>
        <v/>
      </c>
      <c r="R930" s="25">
        <f>IF(OR(A930="",B930=""),"",B930-A930)</f>
        <v/>
      </c>
      <c r="S930" s="26">
        <f>IF(B930="","",YEAR(B930))</f>
        <v/>
      </c>
      <c r="T930" s="27">
        <f>IF(B930="","",IF(OR(F930="Electric",F930="Plug-in",F930="Hibrid"),1,0))</f>
        <v/>
      </c>
    </row>
    <row r="931">
      <c r="A931" s="18" t="n"/>
      <c r="B931" s="18" t="n"/>
      <c r="C931" s="19" t="n"/>
      <c r="D931" s="19" t="n"/>
      <c r="E931" s="20" t="n"/>
      <c r="F931" s="19" t="n"/>
      <c r="G931" s="21" t="n"/>
      <c r="H931" s="22" t="n"/>
      <c r="I931" s="22" t="n"/>
      <c r="J931" s="22" t="n"/>
      <c r="K931" s="19" t="n"/>
      <c r="L931" s="19" t="n"/>
      <c r="M931" s="19" t="n"/>
      <c r="N931" s="19" t="n"/>
      <c r="O931" s="23">
        <f>IF(J931="","",H931+I931)</f>
        <v/>
      </c>
      <c r="P931" s="23">
        <f>IF(J931="","",J931-O931)</f>
        <v/>
      </c>
      <c r="Q931" s="24">
        <f>IF(OR(J931="",J931=0),"",P931/J931)</f>
        <v/>
      </c>
      <c r="R931" s="25">
        <f>IF(OR(A931="",B931=""),"",B931-A931)</f>
        <v/>
      </c>
      <c r="S931" s="26">
        <f>IF(B931="","",YEAR(B931))</f>
        <v/>
      </c>
      <c r="T931" s="27">
        <f>IF(B931="","",IF(OR(F931="Electric",F931="Plug-in",F931="Hibrid"),1,0))</f>
        <v/>
      </c>
    </row>
    <row r="932">
      <c r="A932" s="18" t="n"/>
      <c r="B932" s="18" t="n"/>
      <c r="C932" s="19" t="n"/>
      <c r="D932" s="19" t="n"/>
      <c r="E932" s="20" t="n"/>
      <c r="F932" s="19" t="n"/>
      <c r="G932" s="21" t="n"/>
      <c r="H932" s="22" t="n"/>
      <c r="I932" s="22" t="n"/>
      <c r="J932" s="22" t="n"/>
      <c r="K932" s="19" t="n"/>
      <c r="L932" s="19" t="n"/>
      <c r="M932" s="19" t="n"/>
      <c r="N932" s="19" t="n"/>
      <c r="O932" s="23">
        <f>IF(J932="","",H932+I932)</f>
        <v/>
      </c>
      <c r="P932" s="23">
        <f>IF(J932="","",J932-O932)</f>
        <v/>
      </c>
      <c r="Q932" s="24">
        <f>IF(OR(J932="",J932=0),"",P932/J932)</f>
        <v/>
      </c>
      <c r="R932" s="25">
        <f>IF(OR(A932="",B932=""),"",B932-A932)</f>
        <v/>
      </c>
      <c r="S932" s="26">
        <f>IF(B932="","",YEAR(B932))</f>
        <v/>
      </c>
      <c r="T932" s="27">
        <f>IF(B932="","",IF(OR(F932="Electric",F932="Plug-in",F932="Hibrid"),1,0))</f>
        <v/>
      </c>
    </row>
    <row r="933">
      <c r="A933" s="18" t="n"/>
      <c r="B933" s="18" t="n"/>
      <c r="C933" s="19" t="n"/>
      <c r="D933" s="19" t="n"/>
      <c r="E933" s="20" t="n"/>
      <c r="F933" s="19" t="n"/>
      <c r="G933" s="21" t="n"/>
      <c r="H933" s="22" t="n"/>
      <c r="I933" s="22" t="n"/>
      <c r="J933" s="22" t="n"/>
      <c r="K933" s="19" t="n"/>
      <c r="L933" s="19" t="n"/>
      <c r="M933" s="19" t="n"/>
      <c r="N933" s="19" t="n"/>
      <c r="O933" s="23">
        <f>IF(J933="","",H933+I933)</f>
        <v/>
      </c>
      <c r="P933" s="23">
        <f>IF(J933="","",J933-O933)</f>
        <v/>
      </c>
      <c r="Q933" s="24">
        <f>IF(OR(J933="",J933=0),"",P933/J933)</f>
        <v/>
      </c>
      <c r="R933" s="25">
        <f>IF(OR(A933="",B933=""),"",B933-A933)</f>
        <v/>
      </c>
      <c r="S933" s="26">
        <f>IF(B933="","",YEAR(B933))</f>
        <v/>
      </c>
      <c r="T933" s="27">
        <f>IF(B933="","",IF(OR(F933="Electric",F933="Plug-in",F933="Hibrid"),1,0))</f>
        <v/>
      </c>
    </row>
    <row r="934">
      <c r="A934" s="18" t="n"/>
      <c r="B934" s="18" t="n"/>
      <c r="C934" s="19" t="n"/>
      <c r="D934" s="19" t="n"/>
      <c r="E934" s="20" t="n"/>
      <c r="F934" s="19" t="n"/>
      <c r="G934" s="21" t="n"/>
      <c r="H934" s="22" t="n"/>
      <c r="I934" s="22" t="n"/>
      <c r="J934" s="22" t="n"/>
      <c r="K934" s="19" t="n"/>
      <c r="L934" s="19" t="n"/>
      <c r="M934" s="19" t="n"/>
      <c r="N934" s="19" t="n"/>
      <c r="O934" s="23">
        <f>IF(J934="","",H934+I934)</f>
        <v/>
      </c>
      <c r="P934" s="23">
        <f>IF(J934="","",J934-O934)</f>
        <v/>
      </c>
      <c r="Q934" s="24">
        <f>IF(OR(J934="",J934=0),"",P934/J934)</f>
        <v/>
      </c>
      <c r="R934" s="25">
        <f>IF(OR(A934="",B934=""),"",B934-A934)</f>
        <v/>
      </c>
      <c r="S934" s="26">
        <f>IF(B934="","",YEAR(B934))</f>
        <v/>
      </c>
      <c r="T934" s="27">
        <f>IF(B934="","",IF(OR(F934="Electric",F934="Plug-in",F934="Hibrid"),1,0))</f>
        <v/>
      </c>
    </row>
    <row r="935">
      <c r="A935" s="18" t="n"/>
      <c r="B935" s="18" t="n"/>
      <c r="C935" s="19" t="n"/>
      <c r="D935" s="19" t="n"/>
      <c r="E935" s="20" t="n"/>
      <c r="F935" s="19" t="n"/>
      <c r="G935" s="21" t="n"/>
      <c r="H935" s="22" t="n"/>
      <c r="I935" s="22" t="n"/>
      <c r="J935" s="22" t="n"/>
      <c r="K935" s="19" t="n"/>
      <c r="L935" s="19" t="n"/>
      <c r="M935" s="19" t="n"/>
      <c r="N935" s="19" t="n"/>
      <c r="O935" s="23">
        <f>IF(J935="","",H935+I935)</f>
        <v/>
      </c>
      <c r="P935" s="23">
        <f>IF(J935="","",J935-O935)</f>
        <v/>
      </c>
      <c r="Q935" s="24">
        <f>IF(OR(J935="",J935=0),"",P935/J935)</f>
        <v/>
      </c>
      <c r="R935" s="25">
        <f>IF(OR(A935="",B935=""),"",B935-A935)</f>
        <v/>
      </c>
      <c r="S935" s="26">
        <f>IF(B935="","",YEAR(B935))</f>
        <v/>
      </c>
      <c r="T935" s="27">
        <f>IF(B935="","",IF(OR(F935="Electric",F935="Plug-in",F935="Hibrid"),1,0))</f>
        <v/>
      </c>
    </row>
    <row r="936">
      <c r="A936" s="18" t="n"/>
      <c r="B936" s="18" t="n"/>
      <c r="C936" s="19" t="n"/>
      <c r="D936" s="19" t="n"/>
      <c r="E936" s="20" t="n"/>
      <c r="F936" s="19" t="n"/>
      <c r="G936" s="21" t="n"/>
      <c r="H936" s="22" t="n"/>
      <c r="I936" s="22" t="n"/>
      <c r="J936" s="22" t="n"/>
      <c r="K936" s="19" t="n"/>
      <c r="L936" s="19" t="n"/>
      <c r="M936" s="19" t="n"/>
      <c r="N936" s="19" t="n"/>
      <c r="O936" s="23">
        <f>IF(J936="","",H936+I936)</f>
        <v/>
      </c>
      <c r="P936" s="23">
        <f>IF(J936="","",J936-O936)</f>
        <v/>
      </c>
      <c r="Q936" s="24">
        <f>IF(OR(J936="",J936=0),"",P936/J936)</f>
        <v/>
      </c>
      <c r="R936" s="25">
        <f>IF(OR(A936="",B936=""),"",B936-A936)</f>
        <v/>
      </c>
      <c r="S936" s="26">
        <f>IF(B936="","",YEAR(B936))</f>
        <v/>
      </c>
      <c r="T936" s="27">
        <f>IF(B936="","",IF(OR(F936="Electric",F936="Plug-in",F936="Hibrid"),1,0))</f>
        <v/>
      </c>
    </row>
    <row r="937">
      <c r="A937" s="18" t="n"/>
      <c r="B937" s="18" t="n"/>
      <c r="C937" s="19" t="n"/>
      <c r="D937" s="19" t="n"/>
      <c r="E937" s="20" t="n"/>
      <c r="F937" s="19" t="n"/>
      <c r="G937" s="21" t="n"/>
      <c r="H937" s="22" t="n"/>
      <c r="I937" s="22" t="n"/>
      <c r="J937" s="22" t="n"/>
      <c r="K937" s="19" t="n"/>
      <c r="L937" s="19" t="n"/>
      <c r="M937" s="19" t="n"/>
      <c r="N937" s="19" t="n"/>
      <c r="O937" s="23">
        <f>IF(J937="","",H937+I937)</f>
        <v/>
      </c>
      <c r="P937" s="23">
        <f>IF(J937="","",J937-O937)</f>
        <v/>
      </c>
      <c r="Q937" s="24">
        <f>IF(OR(J937="",J937=0),"",P937/J937)</f>
        <v/>
      </c>
      <c r="R937" s="25">
        <f>IF(OR(A937="",B937=""),"",B937-A937)</f>
        <v/>
      </c>
      <c r="S937" s="26">
        <f>IF(B937="","",YEAR(B937))</f>
        <v/>
      </c>
      <c r="T937" s="27">
        <f>IF(B937="","",IF(OR(F937="Electric",F937="Plug-in",F937="Hibrid"),1,0))</f>
        <v/>
      </c>
    </row>
    <row r="938">
      <c r="A938" s="18" t="n"/>
      <c r="B938" s="18" t="n"/>
      <c r="C938" s="19" t="n"/>
      <c r="D938" s="19" t="n"/>
      <c r="E938" s="20" t="n"/>
      <c r="F938" s="19" t="n"/>
      <c r="G938" s="21" t="n"/>
      <c r="H938" s="22" t="n"/>
      <c r="I938" s="22" t="n"/>
      <c r="J938" s="22" t="n"/>
      <c r="K938" s="19" t="n"/>
      <c r="L938" s="19" t="n"/>
      <c r="M938" s="19" t="n"/>
      <c r="N938" s="19" t="n"/>
      <c r="O938" s="23">
        <f>IF(J938="","",H938+I938)</f>
        <v/>
      </c>
      <c r="P938" s="23">
        <f>IF(J938="","",J938-O938)</f>
        <v/>
      </c>
      <c r="Q938" s="24">
        <f>IF(OR(J938="",J938=0),"",P938/J938)</f>
        <v/>
      </c>
      <c r="R938" s="25">
        <f>IF(OR(A938="",B938=""),"",B938-A938)</f>
        <v/>
      </c>
      <c r="S938" s="26">
        <f>IF(B938="","",YEAR(B938))</f>
        <v/>
      </c>
      <c r="T938" s="27">
        <f>IF(B938="","",IF(OR(F938="Electric",F938="Plug-in",F938="Hibrid"),1,0))</f>
        <v/>
      </c>
    </row>
    <row r="939">
      <c r="A939" s="18" t="n"/>
      <c r="B939" s="18" t="n"/>
      <c r="C939" s="19" t="n"/>
      <c r="D939" s="19" t="n"/>
      <c r="E939" s="20" t="n"/>
      <c r="F939" s="19" t="n"/>
      <c r="G939" s="21" t="n"/>
      <c r="H939" s="22" t="n"/>
      <c r="I939" s="22" t="n"/>
      <c r="J939" s="22" t="n"/>
      <c r="K939" s="19" t="n"/>
      <c r="L939" s="19" t="n"/>
      <c r="M939" s="19" t="n"/>
      <c r="N939" s="19" t="n"/>
      <c r="O939" s="23">
        <f>IF(J939="","",H939+I939)</f>
        <v/>
      </c>
      <c r="P939" s="23">
        <f>IF(J939="","",J939-O939)</f>
        <v/>
      </c>
      <c r="Q939" s="24">
        <f>IF(OR(J939="",J939=0),"",P939/J939)</f>
        <v/>
      </c>
      <c r="R939" s="25">
        <f>IF(OR(A939="",B939=""),"",B939-A939)</f>
        <v/>
      </c>
      <c r="S939" s="26">
        <f>IF(B939="","",YEAR(B939))</f>
        <v/>
      </c>
      <c r="T939" s="27">
        <f>IF(B939="","",IF(OR(F939="Electric",F939="Plug-in",F939="Hibrid"),1,0))</f>
        <v/>
      </c>
    </row>
    <row r="940">
      <c r="A940" s="18" t="n"/>
      <c r="B940" s="18" t="n"/>
      <c r="C940" s="19" t="n"/>
      <c r="D940" s="19" t="n"/>
      <c r="E940" s="20" t="n"/>
      <c r="F940" s="19" t="n"/>
      <c r="G940" s="21" t="n"/>
      <c r="H940" s="22" t="n"/>
      <c r="I940" s="22" t="n"/>
      <c r="J940" s="22" t="n"/>
      <c r="K940" s="19" t="n"/>
      <c r="L940" s="19" t="n"/>
      <c r="M940" s="19" t="n"/>
      <c r="N940" s="19" t="n"/>
      <c r="O940" s="23">
        <f>IF(J940="","",H940+I940)</f>
        <v/>
      </c>
      <c r="P940" s="23">
        <f>IF(J940="","",J940-O940)</f>
        <v/>
      </c>
      <c r="Q940" s="24">
        <f>IF(OR(J940="",J940=0),"",P940/J940)</f>
        <v/>
      </c>
      <c r="R940" s="25">
        <f>IF(OR(A940="",B940=""),"",B940-A940)</f>
        <v/>
      </c>
      <c r="S940" s="26">
        <f>IF(B940="","",YEAR(B940))</f>
        <v/>
      </c>
      <c r="T940" s="27">
        <f>IF(B940="","",IF(OR(F940="Electric",F940="Plug-in",F940="Hibrid"),1,0))</f>
        <v/>
      </c>
    </row>
    <row r="941">
      <c r="A941" s="18" t="n"/>
      <c r="B941" s="18" t="n"/>
      <c r="C941" s="19" t="n"/>
      <c r="D941" s="19" t="n"/>
      <c r="E941" s="20" t="n"/>
      <c r="F941" s="19" t="n"/>
      <c r="G941" s="21" t="n"/>
      <c r="H941" s="22" t="n"/>
      <c r="I941" s="22" t="n"/>
      <c r="J941" s="22" t="n"/>
      <c r="K941" s="19" t="n"/>
      <c r="L941" s="19" t="n"/>
      <c r="M941" s="19" t="n"/>
      <c r="N941" s="19" t="n"/>
      <c r="O941" s="23">
        <f>IF(J941="","",H941+I941)</f>
        <v/>
      </c>
      <c r="P941" s="23">
        <f>IF(J941="","",J941-O941)</f>
        <v/>
      </c>
      <c r="Q941" s="24">
        <f>IF(OR(J941="",J941=0),"",P941/J941)</f>
        <v/>
      </c>
      <c r="R941" s="25">
        <f>IF(OR(A941="",B941=""),"",B941-A941)</f>
        <v/>
      </c>
      <c r="S941" s="26">
        <f>IF(B941="","",YEAR(B941))</f>
        <v/>
      </c>
      <c r="T941" s="27">
        <f>IF(B941="","",IF(OR(F941="Electric",F941="Plug-in",F941="Hibrid"),1,0))</f>
        <v/>
      </c>
    </row>
    <row r="942">
      <c r="A942" s="18" t="n"/>
      <c r="B942" s="18" t="n"/>
      <c r="C942" s="19" t="n"/>
      <c r="D942" s="19" t="n"/>
      <c r="E942" s="20" t="n"/>
      <c r="F942" s="19" t="n"/>
      <c r="G942" s="21" t="n"/>
      <c r="H942" s="22" t="n"/>
      <c r="I942" s="22" t="n"/>
      <c r="J942" s="22" t="n"/>
      <c r="K942" s="19" t="n"/>
      <c r="L942" s="19" t="n"/>
      <c r="M942" s="19" t="n"/>
      <c r="N942" s="19" t="n"/>
      <c r="O942" s="23">
        <f>IF(J942="","",H942+I942)</f>
        <v/>
      </c>
      <c r="P942" s="23">
        <f>IF(J942="","",J942-O942)</f>
        <v/>
      </c>
      <c r="Q942" s="24">
        <f>IF(OR(J942="",J942=0),"",P942/J942)</f>
        <v/>
      </c>
      <c r="R942" s="25">
        <f>IF(OR(A942="",B942=""),"",B942-A942)</f>
        <v/>
      </c>
      <c r="S942" s="26">
        <f>IF(B942="","",YEAR(B942))</f>
        <v/>
      </c>
      <c r="T942" s="27">
        <f>IF(B942="","",IF(OR(F942="Electric",F942="Plug-in",F942="Hibrid"),1,0))</f>
        <v/>
      </c>
    </row>
    <row r="943">
      <c r="A943" s="18" t="n"/>
      <c r="B943" s="18" t="n"/>
      <c r="C943" s="19" t="n"/>
      <c r="D943" s="19" t="n"/>
      <c r="E943" s="20" t="n"/>
      <c r="F943" s="19" t="n"/>
      <c r="G943" s="21" t="n"/>
      <c r="H943" s="22" t="n"/>
      <c r="I943" s="22" t="n"/>
      <c r="J943" s="22" t="n"/>
      <c r="K943" s="19" t="n"/>
      <c r="L943" s="19" t="n"/>
      <c r="M943" s="19" t="n"/>
      <c r="N943" s="19" t="n"/>
      <c r="O943" s="23">
        <f>IF(J943="","",H943+I943)</f>
        <v/>
      </c>
      <c r="P943" s="23">
        <f>IF(J943="","",J943-O943)</f>
        <v/>
      </c>
      <c r="Q943" s="24">
        <f>IF(OR(J943="",J943=0),"",P943/J943)</f>
        <v/>
      </c>
      <c r="R943" s="25">
        <f>IF(OR(A943="",B943=""),"",B943-A943)</f>
        <v/>
      </c>
      <c r="S943" s="26">
        <f>IF(B943="","",YEAR(B943))</f>
        <v/>
      </c>
      <c r="T943" s="27">
        <f>IF(B943="","",IF(OR(F943="Electric",F943="Plug-in",F943="Hibrid"),1,0))</f>
        <v/>
      </c>
    </row>
    <row r="944">
      <c r="A944" s="18" t="n"/>
      <c r="B944" s="18" t="n"/>
      <c r="C944" s="19" t="n"/>
      <c r="D944" s="19" t="n"/>
      <c r="E944" s="20" t="n"/>
      <c r="F944" s="19" t="n"/>
      <c r="G944" s="21" t="n"/>
      <c r="H944" s="22" t="n"/>
      <c r="I944" s="22" t="n"/>
      <c r="J944" s="22" t="n"/>
      <c r="K944" s="19" t="n"/>
      <c r="L944" s="19" t="n"/>
      <c r="M944" s="19" t="n"/>
      <c r="N944" s="19" t="n"/>
      <c r="O944" s="23">
        <f>IF(J944="","",H944+I944)</f>
        <v/>
      </c>
      <c r="P944" s="23">
        <f>IF(J944="","",J944-O944)</f>
        <v/>
      </c>
      <c r="Q944" s="24">
        <f>IF(OR(J944="",J944=0),"",P944/J944)</f>
        <v/>
      </c>
      <c r="R944" s="25">
        <f>IF(OR(A944="",B944=""),"",B944-A944)</f>
        <v/>
      </c>
      <c r="S944" s="26">
        <f>IF(B944="","",YEAR(B944))</f>
        <v/>
      </c>
      <c r="T944" s="27">
        <f>IF(B944="","",IF(OR(F944="Electric",F944="Plug-in",F944="Hibrid"),1,0))</f>
        <v/>
      </c>
    </row>
    <row r="945">
      <c r="A945" s="18" t="n"/>
      <c r="B945" s="18" t="n"/>
      <c r="C945" s="19" t="n"/>
      <c r="D945" s="19" t="n"/>
      <c r="E945" s="20" t="n"/>
      <c r="F945" s="19" t="n"/>
      <c r="G945" s="21" t="n"/>
      <c r="H945" s="22" t="n"/>
      <c r="I945" s="22" t="n"/>
      <c r="J945" s="22" t="n"/>
      <c r="K945" s="19" t="n"/>
      <c r="L945" s="19" t="n"/>
      <c r="M945" s="19" t="n"/>
      <c r="N945" s="19" t="n"/>
      <c r="O945" s="23">
        <f>IF(J945="","",H945+I945)</f>
        <v/>
      </c>
      <c r="P945" s="23">
        <f>IF(J945="","",J945-O945)</f>
        <v/>
      </c>
      <c r="Q945" s="24">
        <f>IF(OR(J945="",J945=0),"",P945/J945)</f>
        <v/>
      </c>
      <c r="R945" s="25">
        <f>IF(OR(A945="",B945=""),"",B945-A945)</f>
        <v/>
      </c>
      <c r="S945" s="26">
        <f>IF(B945="","",YEAR(B945))</f>
        <v/>
      </c>
      <c r="T945" s="27">
        <f>IF(B945="","",IF(OR(F945="Electric",F945="Plug-in",F945="Hibrid"),1,0))</f>
        <v/>
      </c>
    </row>
    <row r="946">
      <c r="A946" s="18" t="n"/>
      <c r="B946" s="18" t="n"/>
      <c r="C946" s="19" t="n"/>
      <c r="D946" s="19" t="n"/>
      <c r="E946" s="20" t="n"/>
      <c r="F946" s="19" t="n"/>
      <c r="G946" s="21" t="n"/>
      <c r="H946" s="22" t="n"/>
      <c r="I946" s="22" t="n"/>
      <c r="J946" s="22" t="n"/>
      <c r="K946" s="19" t="n"/>
      <c r="L946" s="19" t="n"/>
      <c r="M946" s="19" t="n"/>
      <c r="N946" s="19" t="n"/>
      <c r="O946" s="23">
        <f>IF(J946="","",H946+I946)</f>
        <v/>
      </c>
      <c r="P946" s="23">
        <f>IF(J946="","",J946-O946)</f>
        <v/>
      </c>
      <c r="Q946" s="24">
        <f>IF(OR(J946="",J946=0),"",P946/J946)</f>
        <v/>
      </c>
      <c r="R946" s="25">
        <f>IF(OR(A946="",B946=""),"",B946-A946)</f>
        <v/>
      </c>
      <c r="S946" s="26">
        <f>IF(B946="","",YEAR(B946))</f>
        <v/>
      </c>
      <c r="T946" s="27">
        <f>IF(B946="","",IF(OR(F946="Electric",F946="Plug-in",F946="Hibrid"),1,0))</f>
        <v/>
      </c>
    </row>
    <row r="947">
      <c r="A947" s="18" t="n"/>
      <c r="B947" s="18" t="n"/>
      <c r="C947" s="19" t="n"/>
      <c r="D947" s="19" t="n"/>
      <c r="E947" s="20" t="n"/>
      <c r="F947" s="19" t="n"/>
      <c r="G947" s="21" t="n"/>
      <c r="H947" s="22" t="n"/>
      <c r="I947" s="22" t="n"/>
      <c r="J947" s="22" t="n"/>
      <c r="K947" s="19" t="n"/>
      <c r="L947" s="19" t="n"/>
      <c r="M947" s="19" t="n"/>
      <c r="N947" s="19" t="n"/>
      <c r="O947" s="23">
        <f>IF(J947="","",H947+I947)</f>
        <v/>
      </c>
      <c r="P947" s="23">
        <f>IF(J947="","",J947-O947)</f>
        <v/>
      </c>
      <c r="Q947" s="24">
        <f>IF(OR(J947="",J947=0),"",P947/J947)</f>
        <v/>
      </c>
      <c r="R947" s="25">
        <f>IF(OR(A947="",B947=""),"",B947-A947)</f>
        <v/>
      </c>
      <c r="S947" s="26">
        <f>IF(B947="","",YEAR(B947))</f>
        <v/>
      </c>
      <c r="T947" s="27">
        <f>IF(B947="","",IF(OR(F947="Electric",F947="Plug-in",F947="Hibrid"),1,0))</f>
        <v/>
      </c>
    </row>
    <row r="948">
      <c r="A948" s="18" t="n"/>
      <c r="B948" s="18" t="n"/>
      <c r="C948" s="19" t="n"/>
      <c r="D948" s="19" t="n"/>
      <c r="E948" s="20" t="n"/>
      <c r="F948" s="19" t="n"/>
      <c r="G948" s="21" t="n"/>
      <c r="H948" s="22" t="n"/>
      <c r="I948" s="22" t="n"/>
      <c r="J948" s="22" t="n"/>
      <c r="K948" s="19" t="n"/>
      <c r="L948" s="19" t="n"/>
      <c r="M948" s="19" t="n"/>
      <c r="N948" s="19" t="n"/>
      <c r="O948" s="23">
        <f>IF(J948="","",H948+I948)</f>
        <v/>
      </c>
      <c r="P948" s="23">
        <f>IF(J948="","",J948-O948)</f>
        <v/>
      </c>
      <c r="Q948" s="24">
        <f>IF(OR(J948="",J948=0),"",P948/J948)</f>
        <v/>
      </c>
      <c r="R948" s="25">
        <f>IF(OR(A948="",B948=""),"",B948-A948)</f>
        <v/>
      </c>
      <c r="S948" s="26">
        <f>IF(B948="","",YEAR(B948))</f>
        <v/>
      </c>
      <c r="T948" s="27">
        <f>IF(B948="","",IF(OR(F948="Electric",F948="Plug-in",F948="Hibrid"),1,0))</f>
        <v/>
      </c>
    </row>
    <row r="949">
      <c r="A949" s="18" t="n"/>
      <c r="B949" s="18" t="n"/>
      <c r="C949" s="19" t="n"/>
      <c r="D949" s="19" t="n"/>
      <c r="E949" s="20" t="n"/>
      <c r="F949" s="19" t="n"/>
      <c r="G949" s="21" t="n"/>
      <c r="H949" s="22" t="n"/>
      <c r="I949" s="22" t="n"/>
      <c r="J949" s="22" t="n"/>
      <c r="K949" s="19" t="n"/>
      <c r="L949" s="19" t="n"/>
      <c r="M949" s="19" t="n"/>
      <c r="N949" s="19" t="n"/>
      <c r="O949" s="23">
        <f>IF(J949="","",H949+I949)</f>
        <v/>
      </c>
      <c r="P949" s="23">
        <f>IF(J949="","",J949-O949)</f>
        <v/>
      </c>
      <c r="Q949" s="24">
        <f>IF(OR(J949="",J949=0),"",P949/J949)</f>
        <v/>
      </c>
      <c r="R949" s="25">
        <f>IF(OR(A949="",B949=""),"",B949-A949)</f>
        <v/>
      </c>
      <c r="S949" s="26">
        <f>IF(B949="","",YEAR(B949))</f>
        <v/>
      </c>
      <c r="T949" s="27">
        <f>IF(B949="","",IF(OR(F949="Electric",F949="Plug-in",F949="Hibrid"),1,0))</f>
        <v/>
      </c>
    </row>
    <row r="950">
      <c r="A950" s="18" t="n"/>
      <c r="B950" s="18" t="n"/>
      <c r="C950" s="19" t="n"/>
      <c r="D950" s="19" t="n"/>
      <c r="E950" s="20" t="n"/>
      <c r="F950" s="19" t="n"/>
      <c r="G950" s="21" t="n"/>
      <c r="H950" s="22" t="n"/>
      <c r="I950" s="22" t="n"/>
      <c r="J950" s="22" t="n"/>
      <c r="K950" s="19" t="n"/>
      <c r="L950" s="19" t="n"/>
      <c r="M950" s="19" t="n"/>
      <c r="N950" s="19" t="n"/>
      <c r="O950" s="23">
        <f>IF(J950="","",H950+I950)</f>
        <v/>
      </c>
      <c r="P950" s="23">
        <f>IF(J950="","",J950-O950)</f>
        <v/>
      </c>
      <c r="Q950" s="24">
        <f>IF(OR(J950="",J950=0),"",P950/J950)</f>
        <v/>
      </c>
      <c r="R950" s="25">
        <f>IF(OR(A950="",B950=""),"",B950-A950)</f>
        <v/>
      </c>
      <c r="S950" s="26">
        <f>IF(B950="","",YEAR(B950))</f>
        <v/>
      </c>
      <c r="T950" s="27">
        <f>IF(B950="","",IF(OR(F950="Electric",F950="Plug-in",F950="Hibrid"),1,0))</f>
        <v/>
      </c>
    </row>
    <row r="951">
      <c r="A951" s="18" t="n"/>
      <c r="B951" s="18" t="n"/>
      <c r="C951" s="19" t="n"/>
      <c r="D951" s="19" t="n"/>
      <c r="E951" s="20" t="n"/>
      <c r="F951" s="19" t="n"/>
      <c r="G951" s="21" t="n"/>
      <c r="H951" s="22" t="n"/>
      <c r="I951" s="22" t="n"/>
      <c r="J951" s="22" t="n"/>
      <c r="K951" s="19" t="n"/>
      <c r="L951" s="19" t="n"/>
      <c r="M951" s="19" t="n"/>
      <c r="N951" s="19" t="n"/>
      <c r="O951" s="23">
        <f>IF(J951="","",H951+I951)</f>
        <v/>
      </c>
      <c r="P951" s="23">
        <f>IF(J951="","",J951-O951)</f>
        <v/>
      </c>
      <c r="Q951" s="24">
        <f>IF(OR(J951="",J951=0),"",P951/J951)</f>
        <v/>
      </c>
      <c r="R951" s="25">
        <f>IF(OR(A951="",B951=""),"",B951-A951)</f>
        <v/>
      </c>
      <c r="S951" s="26">
        <f>IF(B951="","",YEAR(B951))</f>
        <v/>
      </c>
      <c r="T951" s="27">
        <f>IF(B951="","",IF(OR(F951="Electric",F951="Plug-in",F951="Hibrid"),1,0))</f>
        <v/>
      </c>
    </row>
    <row r="952">
      <c r="A952" s="18" t="n"/>
      <c r="B952" s="18" t="n"/>
      <c r="C952" s="19" t="n"/>
      <c r="D952" s="19" t="n"/>
      <c r="E952" s="20" t="n"/>
      <c r="F952" s="19" t="n"/>
      <c r="G952" s="21" t="n"/>
      <c r="H952" s="22" t="n"/>
      <c r="I952" s="22" t="n"/>
      <c r="J952" s="22" t="n"/>
      <c r="K952" s="19" t="n"/>
      <c r="L952" s="19" t="n"/>
      <c r="M952" s="19" t="n"/>
      <c r="N952" s="19" t="n"/>
      <c r="O952" s="23">
        <f>IF(J952="","",H952+I952)</f>
        <v/>
      </c>
      <c r="P952" s="23">
        <f>IF(J952="","",J952-O952)</f>
        <v/>
      </c>
      <c r="Q952" s="24">
        <f>IF(OR(J952="",J952=0),"",P952/J952)</f>
        <v/>
      </c>
      <c r="R952" s="25">
        <f>IF(OR(A952="",B952=""),"",B952-A952)</f>
        <v/>
      </c>
      <c r="S952" s="26">
        <f>IF(B952="","",YEAR(B952))</f>
        <v/>
      </c>
      <c r="T952" s="27">
        <f>IF(B952="","",IF(OR(F952="Electric",F952="Plug-in",F952="Hibrid"),1,0))</f>
        <v/>
      </c>
    </row>
    <row r="953">
      <c r="A953" s="18" t="n"/>
      <c r="B953" s="18" t="n"/>
      <c r="C953" s="19" t="n"/>
      <c r="D953" s="19" t="n"/>
      <c r="E953" s="20" t="n"/>
      <c r="F953" s="19" t="n"/>
      <c r="G953" s="21" t="n"/>
      <c r="H953" s="22" t="n"/>
      <c r="I953" s="22" t="n"/>
      <c r="J953" s="22" t="n"/>
      <c r="K953" s="19" t="n"/>
      <c r="L953" s="19" t="n"/>
      <c r="M953" s="19" t="n"/>
      <c r="N953" s="19" t="n"/>
      <c r="O953" s="23">
        <f>IF(J953="","",H953+I953)</f>
        <v/>
      </c>
      <c r="P953" s="23">
        <f>IF(J953="","",J953-O953)</f>
        <v/>
      </c>
      <c r="Q953" s="24">
        <f>IF(OR(J953="",J953=0),"",P953/J953)</f>
        <v/>
      </c>
      <c r="R953" s="25">
        <f>IF(OR(A953="",B953=""),"",B953-A953)</f>
        <v/>
      </c>
      <c r="S953" s="26">
        <f>IF(B953="","",YEAR(B953))</f>
        <v/>
      </c>
      <c r="T953" s="27">
        <f>IF(B953="","",IF(OR(F953="Electric",F953="Plug-in",F953="Hibrid"),1,0))</f>
        <v/>
      </c>
    </row>
    <row r="954">
      <c r="A954" s="18" t="n"/>
      <c r="B954" s="18" t="n"/>
      <c r="C954" s="19" t="n"/>
      <c r="D954" s="19" t="n"/>
      <c r="E954" s="20" t="n"/>
      <c r="F954" s="19" t="n"/>
      <c r="G954" s="21" t="n"/>
      <c r="H954" s="22" t="n"/>
      <c r="I954" s="22" t="n"/>
      <c r="J954" s="22" t="n"/>
      <c r="K954" s="19" t="n"/>
      <c r="L954" s="19" t="n"/>
      <c r="M954" s="19" t="n"/>
      <c r="N954" s="19" t="n"/>
      <c r="O954" s="23">
        <f>IF(J954="","",H954+I954)</f>
        <v/>
      </c>
      <c r="P954" s="23">
        <f>IF(J954="","",J954-O954)</f>
        <v/>
      </c>
      <c r="Q954" s="24">
        <f>IF(OR(J954="",J954=0),"",P954/J954)</f>
        <v/>
      </c>
      <c r="R954" s="25">
        <f>IF(OR(A954="",B954=""),"",B954-A954)</f>
        <v/>
      </c>
      <c r="S954" s="26">
        <f>IF(B954="","",YEAR(B954))</f>
        <v/>
      </c>
      <c r="T954" s="27">
        <f>IF(B954="","",IF(OR(F954="Electric",F954="Plug-in",F954="Hibrid"),1,0))</f>
        <v/>
      </c>
    </row>
    <row r="955">
      <c r="A955" s="18" t="n"/>
      <c r="B955" s="18" t="n"/>
      <c r="C955" s="19" t="n"/>
      <c r="D955" s="19" t="n"/>
      <c r="E955" s="20" t="n"/>
      <c r="F955" s="19" t="n"/>
      <c r="G955" s="21" t="n"/>
      <c r="H955" s="22" t="n"/>
      <c r="I955" s="22" t="n"/>
      <c r="J955" s="22" t="n"/>
      <c r="K955" s="19" t="n"/>
      <c r="L955" s="19" t="n"/>
      <c r="M955" s="19" t="n"/>
      <c r="N955" s="19" t="n"/>
      <c r="O955" s="23">
        <f>IF(J955="","",H955+I955)</f>
        <v/>
      </c>
      <c r="P955" s="23">
        <f>IF(J955="","",J955-O955)</f>
        <v/>
      </c>
      <c r="Q955" s="24">
        <f>IF(OR(J955="",J955=0),"",P955/J955)</f>
        <v/>
      </c>
      <c r="R955" s="25">
        <f>IF(OR(A955="",B955=""),"",B955-A955)</f>
        <v/>
      </c>
      <c r="S955" s="26">
        <f>IF(B955="","",YEAR(B955))</f>
        <v/>
      </c>
      <c r="T955" s="27">
        <f>IF(B955="","",IF(OR(F955="Electric",F955="Plug-in",F955="Hibrid"),1,0))</f>
        <v/>
      </c>
    </row>
    <row r="956">
      <c r="A956" s="18" t="n"/>
      <c r="B956" s="18" t="n"/>
      <c r="C956" s="19" t="n"/>
      <c r="D956" s="19" t="n"/>
      <c r="E956" s="20" t="n"/>
      <c r="F956" s="19" t="n"/>
      <c r="G956" s="21" t="n"/>
      <c r="H956" s="22" t="n"/>
      <c r="I956" s="22" t="n"/>
      <c r="J956" s="22" t="n"/>
      <c r="K956" s="19" t="n"/>
      <c r="L956" s="19" t="n"/>
      <c r="M956" s="19" t="n"/>
      <c r="N956" s="19" t="n"/>
      <c r="O956" s="23">
        <f>IF(J956="","",H956+I956)</f>
        <v/>
      </c>
      <c r="P956" s="23">
        <f>IF(J956="","",J956-O956)</f>
        <v/>
      </c>
      <c r="Q956" s="24">
        <f>IF(OR(J956="",J956=0),"",P956/J956)</f>
        <v/>
      </c>
      <c r="R956" s="25">
        <f>IF(OR(A956="",B956=""),"",B956-A956)</f>
        <v/>
      </c>
      <c r="S956" s="26">
        <f>IF(B956="","",YEAR(B956))</f>
        <v/>
      </c>
      <c r="T956" s="27">
        <f>IF(B956="","",IF(OR(F956="Electric",F956="Plug-in",F956="Hibrid"),1,0))</f>
        <v/>
      </c>
    </row>
    <row r="957">
      <c r="A957" s="18" t="n"/>
      <c r="B957" s="18" t="n"/>
      <c r="C957" s="19" t="n"/>
      <c r="D957" s="19" t="n"/>
      <c r="E957" s="20" t="n"/>
      <c r="F957" s="19" t="n"/>
      <c r="G957" s="21" t="n"/>
      <c r="H957" s="22" t="n"/>
      <c r="I957" s="22" t="n"/>
      <c r="J957" s="22" t="n"/>
      <c r="K957" s="19" t="n"/>
      <c r="L957" s="19" t="n"/>
      <c r="M957" s="19" t="n"/>
      <c r="N957" s="19" t="n"/>
      <c r="O957" s="23">
        <f>IF(J957="","",H957+I957)</f>
        <v/>
      </c>
      <c r="P957" s="23">
        <f>IF(J957="","",J957-O957)</f>
        <v/>
      </c>
      <c r="Q957" s="24">
        <f>IF(OR(J957="",J957=0),"",P957/J957)</f>
        <v/>
      </c>
      <c r="R957" s="25">
        <f>IF(OR(A957="",B957=""),"",B957-A957)</f>
        <v/>
      </c>
      <c r="S957" s="26">
        <f>IF(B957="","",YEAR(B957))</f>
        <v/>
      </c>
      <c r="T957" s="27">
        <f>IF(B957="","",IF(OR(F957="Electric",F957="Plug-in",F957="Hibrid"),1,0))</f>
        <v/>
      </c>
    </row>
    <row r="958">
      <c r="A958" s="18" t="n"/>
      <c r="B958" s="18" t="n"/>
      <c r="C958" s="19" t="n"/>
      <c r="D958" s="19" t="n"/>
      <c r="E958" s="20" t="n"/>
      <c r="F958" s="19" t="n"/>
      <c r="G958" s="21" t="n"/>
      <c r="H958" s="22" t="n"/>
      <c r="I958" s="22" t="n"/>
      <c r="J958" s="22" t="n"/>
      <c r="K958" s="19" t="n"/>
      <c r="L958" s="19" t="n"/>
      <c r="M958" s="19" t="n"/>
      <c r="N958" s="19" t="n"/>
      <c r="O958" s="23">
        <f>IF(J958="","",H958+I958)</f>
        <v/>
      </c>
      <c r="P958" s="23">
        <f>IF(J958="","",J958-O958)</f>
        <v/>
      </c>
      <c r="Q958" s="24">
        <f>IF(OR(J958="",J958=0),"",P958/J958)</f>
        <v/>
      </c>
      <c r="R958" s="25">
        <f>IF(OR(A958="",B958=""),"",B958-A958)</f>
        <v/>
      </c>
      <c r="S958" s="26">
        <f>IF(B958="","",YEAR(B958))</f>
        <v/>
      </c>
      <c r="T958" s="27">
        <f>IF(B958="","",IF(OR(F958="Electric",F958="Plug-in",F958="Hibrid"),1,0))</f>
        <v/>
      </c>
    </row>
    <row r="959">
      <c r="A959" s="18" t="n"/>
      <c r="B959" s="18" t="n"/>
      <c r="C959" s="19" t="n"/>
      <c r="D959" s="19" t="n"/>
      <c r="E959" s="20" t="n"/>
      <c r="F959" s="19" t="n"/>
      <c r="G959" s="21" t="n"/>
      <c r="H959" s="22" t="n"/>
      <c r="I959" s="22" t="n"/>
      <c r="J959" s="22" t="n"/>
      <c r="K959" s="19" t="n"/>
      <c r="L959" s="19" t="n"/>
      <c r="M959" s="19" t="n"/>
      <c r="N959" s="19" t="n"/>
      <c r="O959" s="23">
        <f>IF(J959="","",H959+I959)</f>
        <v/>
      </c>
      <c r="P959" s="23">
        <f>IF(J959="","",J959-O959)</f>
        <v/>
      </c>
      <c r="Q959" s="24">
        <f>IF(OR(J959="",J959=0),"",P959/J959)</f>
        <v/>
      </c>
      <c r="R959" s="25">
        <f>IF(OR(A959="",B959=""),"",B959-A959)</f>
        <v/>
      </c>
      <c r="S959" s="26">
        <f>IF(B959="","",YEAR(B959))</f>
        <v/>
      </c>
      <c r="T959" s="27">
        <f>IF(B959="","",IF(OR(F959="Electric",F959="Plug-in",F959="Hibrid"),1,0))</f>
        <v/>
      </c>
    </row>
    <row r="960">
      <c r="A960" s="18" t="n"/>
      <c r="B960" s="18" t="n"/>
      <c r="C960" s="19" t="n"/>
      <c r="D960" s="19" t="n"/>
      <c r="E960" s="20" t="n"/>
      <c r="F960" s="19" t="n"/>
      <c r="G960" s="21" t="n"/>
      <c r="H960" s="22" t="n"/>
      <c r="I960" s="22" t="n"/>
      <c r="J960" s="22" t="n"/>
      <c r="K960" s="19" t="n"/>
      <c r="L960" s="19" t="n"/>
      <c r="M960" s="19" t="n"/>
      <c r="N960" s="19" t="n"/>
      <c r="O960" s="23">
        <f>IF(J960="","",H960+I960)</f>
        <v/>
      </c>
      <c r="P960" s="23">
        <f>IF(J960="","",J960-O960)</f>
        <v/>
      </c>
      <c r="Q960" s="24">
        <f>IF(OR(J960="",J960=0),"",P960/J960)</f>
        <v/>
      </c>
      <c r="R960" s="25">
        <f>IF(OR(A960="",B960=""),"",B960-A960)</f>
        <v/>
      </c>
      <c r="S960" s="26">
        <f>IF(B960="","",YEAR(B960))</f>
        <v/>
      </c>
      <c r="T960" s="27">
        <f>IF(B960="","",IF(OR(F960="Electric",F960="Plug-in",F960="Hibrid"),1,0))</f>
        <v/>
      </c>
    </row>
    <row r="961">
      <c r="A961" s="18" t="n"/>
      <c r="B961" s="18" t="n"/>
      <c r="C961" s="19" t="n"/>
      <c r="D961" s="19" t="n"/>
      <c r="E961" s="20" t="n"/>
      <c r="F961" s="19" t="n"/>
      <c r="G961" s="21" t="n"/>
      <c r="H961" s="22" t="n"/>
      <c r="I961" s="22" t="n"/>
      <c r="J961" s="22" t="n"/>
      <c r="K961" s="19" t="n"/>
      <c r="L961" s="19" t="n"/>
      <c r="M961" s="19" t="n"/>
      <c r="N961" s="19" t="n"/>
      <c r="O961" s="23">
        <f>IF(J961="","",H961+I961)</f>
        <v/>
      </c>
      <c r="P961" s="23">
        <f>IF(J961="","",J961-O961)</f>
        <v/>
      </c>
      <c r="Q961" s="24">
        <f>IF(OR(J961="",J961=0),"",P961/J961)</f>
        <v/>
      </c>
      <c r="R961" s="25">
        <f>IF(OR(A961="",B961=""),"",B961-A961)</f>
        <v/>
      </c>
      <c r="S961" s="26">
        <f>IF(B961="","",YEAR(B961))</f>
        <v/>
      </c>
      <c r="T961" s="27">
        <f>IF(B961="","",IF(OR(F961="Electric",F961="Plug-in",F961="Hibrid"),1,0))</f>
        <v/>
      </c>
    </row>
    <row r="962">
      <c r="A962" s="18" t="n"/>
      <c r="B962" s="18" t="n"/>
      <c r="C962" s="19" t="n"/>
      <c r="D962" s="19" t="n"/>
      <c r="E962" s="20" t="n"/>
      <c r="F962" s="19" t="n"/>
      <c r="G962" s="21" t="n"/>
      <c r="H962" s="22" t="n"/>
      <c r="I962" s="22" t="n"/>
      <c r="J962" s="22" t="n"/>
      <c r="K962" s="19" t="n"/>
      <c r="L962" s="19" t="n"/>
      <c r="M962" s="19" t="n"/>
      <c r="N962" s="19" t="n"/>
      <c r="O962" s="23">
        <f>IF(J962="","",H962+I962)</f>
        <v/>
      </c>
      <c r="P962" s="23">
        <f>IF(J962="","",J962-O962)</f>
        <v/>
      </c>
      <c r="Q962" s="24">
        <f>IF(OR(J962="",J962=0),"",P962/J962)</f>
        <v/>
      </c>
      <c r="R962" s="25">
        <f>IF(OR(A962="",B962=""),"",B962-A962)</f>
        <v/>
      </c>
      <c r="S962" s="26">
        <f>IF(B962="","",YEAR(B962))</f>
        <v/>
      </c>
      <c r="T962" s="27">
        <f>IF(B962="","",IF(OR(F962="Electric",F962="Plug-in",F962="Hibrid"),1,0))</f>
        <v/>
      </c>
    </row>
    <row r="963">
      <c r="A963" s="18" t="n"/>
      <c r="B963" s="18" t="n"/>
      <c r="C963" s="19" t="n"/>
      <c r="D963" s="19" t="n"/>
      <c r="E963" s="20" t="n"/>
      <c r="F963" s="19" t="n"/>
      <c r="G963" s="21" t="n"/>
      <c r="H963" s="22" t="n"/>
      <c r="I963" s="22" t="n"/>
      <c r="J963" s="22" t="n"/>
      <c r="K963" s="19" t="n"/>
      <c r="L963" s="19" t="n"/>
      <c r="M963" s="19" t="n"/>
      <c r="N963" s="19" t="n"/>
      <c r="O963" s="23">
        <f>IF(J963="","",H963+I963)</f>
        <v/>
      </c>
      <c r="P963" s="23">
        <f>IF(J963="","",J963-O963)</f>
        <v/>
      </c>
      <c r="Q963" s="24">
        <f>IF(OR(J963="",J963=0),"",P963/J963)</f>
        <v/>
      </c>
      <c r="R963" s="25">
        <f>IF(OR(A963="",B963=""),"",B963-A963)</f>
        <v/>
      </c>
      <c r="S963" s="26">
        <f>IF(B963="","",YEAR(B963))</f>
        <v/>
      </c>
      <c r="T963" s="27">
        <f>IF(B963="","",IF(OR(F963="Electric",F963="Plug-in",F963="Hibrid"),1,0))</f>
        <v/>
      </c>
    </row>
    <row r="964">
      <c r="A964" s="18" t="n"/>
      <c r="B964" s="18" t="n"/>
      <c r="C964" s="19" t="n"/>
      <c r="D964" s="19" t="n"/>
      <c r="E964" s="20" t="n"/>
      <c r="F964" s="19" t="n"/>
      <c r="G964" s="21" t="n"/>
      <c r="H964" s="22" t="n"/>
      <c r="I964" s="22" t="n"/>
      <c r="J964" s="22" t="n"/>
      <c r="K964" s="19" t="n"/>
      <c r="L964" s="19" t="n"/>
      <c r="M964" s="19" t="n"/>
      <c r="N964" s="19" t="n"/>
      <c r="O964" s="23">
        <f>IF(J964="","",H964+I964)</f>
        <v/>
      </c>
      <c r="P964" s="23">
        <f>IF(J964="","",J964-O964)</f>
        <v/>
      </c>
      <c r="Q964" s="24">
        <f>IF(OR(J964="",J964=0),"",P964/J964)</f>
        <v/>
      </c>
      <c r="R964" s="25">
        <f>IF(OR(A964="",B964=""),"",B964-A964)</f>
        <v/>
      </c>
      <c r="S964" s="26">
        <f>IF(B964="","",YEAR(B964))</f>
        <v/>
      </c>
      <c r="T964" s="27">
        <f>IF(B964="","",IF(OR(F964="Electric",F964="Plug-in",F964="Hibrid"),1,0))</f>
        <v/>
      </c>
    </row>
    <row r="965">
      <c r="A965" s="18" t="n"/>
      <c r="B965" s="18" t="n"/>
      <c r="C965" s="19" t="n"/>
      <c r="D965" s="19" t="n"/>
      <c r="E965" s="20" t="n"/>
      <c r="F965" s="19" t="n"/>
      <c r="G965" s="21" t="n"/>
      <c r="H965" s="22" t="n"/>
      <c r="I965" s="22" t="n"/>
      <c r="J965" s="22" t="n"/>
      <c r="K965" s="19" t="n"/>
      <c r="L965" s="19" t="n"/>
      <c r="M965" s="19" t="n"/>
      <c r="N965" s="19" t="n"/>
      <c r="O965" s="23">
        <f>IF(J965="","",H965+I965)</f>
        <v/>
      </c>
      <c r="P965" s="23">
        <f>IF(J965="","",J965-O965)</f>
        <v/>
      </c>
      <c r="Q965" s="24">
        <f>IF(OR(J965="",J965=0),"",P965/J965)</f>
        <v/>
      </c>
      <c r="R965" s="25">
        <f>IF(OR(A965="",B965=""),"",B965-A965)</f>
        <v/>
      </c>
      <c r="S965" s="26">
        <f>IF(B965="","",YEAR(B965))</f>
        <v/>
      </c>
      <c r="T965" s="27">
        <f>IF(B965="","",IF(OR(F965="Electric",F965="Plug-in",F965="Hibrid"),1,0))</f>
        <v/>
      </c>
    </row>
    <row r="966">
      <c r="A966" s="18" t="n"/>
      <c r="B966" s="18" t="n"/>
      <c r="C966" s="19" t="n"/>
      <c r="D966" s="19" t="n"/>
      <c r="E966" s="20" t="n"/>
      <c r="F966" s="19" t="n"/>
      <c r="G966" s="21" t="n"/>
      <c r="H966" s="22" t="n"/>
      <c r="I966" s="22" t="n"/>
      <c r="J966" s="22" t="n"/>
      <c r="K966" s="19" t="n"/>
      <c r="L966" s="19" t="n"/>
      <c r="M966" s="19" t="n"/>
      <c r="N966" s="19" t="n"/>
      <c r="O966" s="23">
        <f>IF(J966="","",H966+I966)</f>
        <v/>
      </c>
      <c r="P966" s="23">
        <f>IF(J966="","",J966-O966)</f>
        <v/>
      </c>
      <c r="Q966" s="24">
        <f>IF(OR(J966="",J966=0),"",P966/J966)</f>
        <v/>
      </c>
      <c r="R966" s="25">
        <f>IF(OR(A966="",B966=""),"",B966-A966)</f>
        <v/>
      </c>
      <c r="S966" s="26">
        <f>IF(B966="","",YEAR(B966))</f>
        <v/>
      </c>
      <c r="T966" s="27">
        <f>IF(B966="","",IF(OR(F966="Electric",F966="Plug-in",F966="Hibrid"),1,0))</f>
        <v/>
      </c>
    </row>
    <row r="967">
      <c r="A967" s="18" t="n"/>
      <c r="B967" s="18" t="n"/>
      <c r="C967" s="19" t="n"/>
      <c r="D967" s="19" t="n"/>
      <c r="E967" s="20" t="n"/>
      <c r="F967" s="19" t="n"/>
      <c r="G967" s="21" t="n"/>
      <c r="H967" s="22" t="n"/>
      <c r="I967" s="22" t="n"/>
      <c r="J967" s="22" t="n"/>
      <c r="K967" s="19" t="n"/>
      <c r="L967" s="19" t="n"/>
      <c r="M967" s="19" t="n"/>
      <c r="N967" s="19" t="n"/>
      <c r="O967" s="23">
        <f>IF(J967="","",H967+I967)</f>
        <v/>
      </c>
      <c r="P967" s="23">
        <f>IF(J967="","",J967-O967)</f>
        <v/>
      </c>
      <c r="Q967" s="24">
        <f>IF(OR(J967="",J967=0),"",P967/J967)</f>
        <v/>
      </c>
      <c r="R967" s="25">
        <f>IF(OR(A967="",B967=""),"",B967-A967)</f>
        <v/>
      </c>
      <c r="S967" s="26">
        <f>IF(B967="","",YEAR(B967))</f>
        <v/>
      </c>
      <c r="T967" s="27">
        <f>IF(B967="","",IF(OR(F967="Electric",F967="Plug-in",F967="Hibrid"),1,0))</f>
        <v/>
      </c>
    </row>
    <row r="968">
      <c r="A968" s="18" t="n"/>
      <c r="B968" s="18" t="n"/>
      <c r="C968" s="19" t="n"/>
      <c r="D968" s="19" t="n"/>
      <c r="E968" s="20" t="n"/>
      <c r="F968" s="19" t="n"/>
      <c r="G968" s="21" t="n"/>
      <c r="H968" s="22" t="n"/>
      <c r="I968" s="22" t="n"/>
      <c r="J968" s="22" t="n"/>
      <c r="K968" s="19" t="n"/>
      <c r="L968" s="19" t="n"/>
      <c r="M968" s="19" t="n"/>
      <c r="N968" s="19" t="n"/>
      <c r="O968" s="23">
        <f>IF(J968="","",H968+I968)</f>
        <v/>
      </c>
      <c r="P968" s="23">
        <f>IF(J968="","",J968-O968)</f>
        <v/>
      </c>
      <c r="Q968" s="24">
        <f>IF(OR(J968="",J968=0),"",P968/J968)</f>
        <v/>
      </c>
      <c r="R968" s="25">
        <f>IF(OR(A968="",B968=""),"",B968-A968)</f>
        <v/>
      </c>
      <c r="S968" s="26">
        <f>IF(B968="","",YEAR(B968))</f>
        <v/>
      </c>
      <c r="T968" s="27">
        <f>IF(B968="","",IF(OR(F968="Electric",F968="Plug-in",F968="Hibrid"),1,0))</f>
        <v/>
      </c>
    </row>
    <row r="969">
      <c r="A969" s="18" t="n"/>
      <c r="B969" s="18" t="n"/>
      <c r="C969" s="19" t="n"/>
      <c r="D969" s="19" t="n"/>
      <c r="E969" s="20" t="n"/>
      <c r="F969" s="19" t="n"/>
      <c r="G969" s="21" t="n"/>
      <c r="H969" s="22" t="n"/>
      <c r="I969" s="22" t="n"/>
      <c r="J969" s="22" t="n"/>
      <c r="K969" s="19" t="n"/>
      <c r="L969" s="19" t="n"/>
      <c r="M969" s="19" t="n"/>
      <c r="N969" s="19" t="n"/>
      <c r="O969" s="23">
        <f>IF(J969="","",H969+I969)</f>
        <v/>
      </c>
      <c r="P969" s="23">
        <f>IF(J969="","",J969-O969)</f>
        <v/>
      </c>
      <c r="Q969" s="24">
        <f>IF(OR(J969="",J969=0),"",P969/J969)</f>
        <v/>
      </c>
      <c r="R969" s="25">
        <f>IF(OR(A969="",B969=""),"",B969-A969)</f>
        <v/>
      </c>
      <c r="S969" s="26">
        <f>IF(B969="","",YEAR(B969))</f>
        <v/>
      </c>
      <c r="T969" s="27">
        <f>IF(B969="","",IF(OR(F969="Electric",F969="Plug-in",F969="Hibrid"),1,0))</f>
        <v/>
      </c>
    </row>
    <row r="970">
      <c r="A970" s="18" t="n"/>
      <c r="B970" s="18" t="n"/>
      <c r="C970" s="19" t="n"/>
      <c r="D970" s="19" t="n"/>
      <c r="E970" s="20" t="n"/>
      <c r="F970" s="19" t="n"/>
      <c r="G970" s="21" t="n"/>
      <c r="H970" s="22" t="n"/>
      <c r="I970" s="22" t="n"/>
      <c r="J970" s="22" t="n"/>
      <c r="K970" s="19" t="n"/>
      <c r="L970" s="19" t="n"/>
      <c r="M970" s="19" t="n"/>
      <c r="N970" s="19" t="n"/>
      <c r="O970" s="23">
        <f>IF(J970="","",H970+I970)</f>
        <v/>
      </c>
      <c r="P970" s="23">
        <f>IF(J970="","",J970-O970)</f>
        <v/>
      </c>
      <c r="Q970" s="24">
        <f>IF(OR(J970="",J970=0),"",P970/J970)</f>
        <v/>
      </c>
      <c r="R970" s="25">
        <f>IF(OR(A970="",B970=""),"",B970-A970)</f>
        <v/>
      </c>
      <c r="S970" s="26">
        <f>IF(B970="","",YEAR(B970))</f>
        <v/>
      </c>
      <c r="T970" s="27">
        <f>IF(B970="","",IF(OR(F970="Electric",F970="Plug-in",F970="Hibrid"),1,0))</f>
        <v/>
      </c>
    </row>
    <row r="971">
      <c r="A971" s="18" t="n"/>
      <c r="B971" s="18" t="n"/>
      <c r="C971" s="19" t="n"/>
      <c r="D971" s="19" t="n"/>
      <c r="E971" s="20" t="n"/>
      <c r="F971" s="19" t="n"/>
      <c r="G971" s="21" t="n"/>
      <c r="H971" s="22" t="n"/>
      <c r="I971" s="22" t="n"/>
      <c r="J971" s="22" t="n"/>
      <c r="K971" s="19" t="n"/>
      <c r="L971" s="19" t="n"/>
      <c r="M971" s="19" t="n"/>
      <c r="N971" s="19" t="n"/>
      <c r="O971" s="23">
        <f>IF(J971="","",H971+I971)</f>
        <v/>
      </c>
      <c r="P971" s="23">
        <f>IF(J971="","",J971-O971)</f>
        <v/>
      </c>
      <c r="Q971" s="24">
        <f>IF(OR(J971="",J971=0),"",P971/J971)</f>
        <v/>
      </c>
      <c r="R971" s="25">
        <f>IF(OR(A971="",B971=""),"",B971-A971)</f>
        <v/>
      </c>
      <c r="S971" s="26">
        <f>IF(B971="","",YEAR(B971))</f>
        <v/>
      </c>
      <c r="T971" s="27">
        <f>IF(B971="","",IF(OR(F971="Electric",F971="Plug-in",F971="Hibrid"),1,0))</f>
        <v/>
      </c>
    </row>
    <row r="972">
      <c r="A972" s="18" t="n"/>
      <c r="B972" s="18" t="n"/>
      <c r="C972" s="19" t="n"/>
      <c r="D972" s="19" t="n"/>
      <c r="E972" s="20" t="n"/>
      <c r="F972" s="19" t="n"/>
      <c r="G972" s="21" t="n"/>
      <c r="H972" s="22" t="n"/>
      <c r="I972" s="22" t="n"/>
      <c r="J972" s="22" t="n"/>
      <c r="K972" s="19" t="n"/>
      <c r="L972" s="19" t="n"/>
      <c r="M972" s="19" t="n"/>
      <c r="N972" s="19" t="n"/>
      <c r="O972" s="23">
        <f>IF(J972="","",H972+I972)</f>
        <v/>
      </c>
      <c r="P972" s="23">
        <f>IF(J972="","",J972-O972)</f>
        <v/>
      </c>
      <c r="Q972" s="24">
        <f>IF(OR(J972="",J972=0),"",P972/J972)</f>
        <v/>
      </c>
      <c r="R972" s="25">
        <f>IF(OR(A972="",B972=""),"",B972-A972)</f>
        <v/>
      </c>
      <c r="S972" s="26">
        <f>IF(B972="","",YEAR(B972))</f>
        <v/>
      </c>
      <c r="T972" s="27">
        <f>IF(B972="","",IF(OR(F972="Electric",F972="Plug-in",F972="Hibrid"),1,0))</f>
        <v/>
      </c>
    </row>
    <row r="973">
      <c r="A973" s="18" t="n"/>
      <c r="B973" s="18" t="n"/>
      <c r="C973" s="19" t="n"/>
      <c r="D973" s="19" t="n"/>
      <c r="E973" s="20" t="n"/>
      <c r="F973" s="19" t="n"/>
      <c r="G973" s="21" t="n"/>
      <c r="H973" s="22" t="n"/>
      <c r="I973" s="22" t="n"/>
      <c r="J973" s="22" t="n"/>
      <c r="K973" s="19" t="n"/>
      <c r="L973" s="19" t="n"/>
      <c r="M973" s="19" t="n"/>
      <c r="N973" s="19" t="n"/>
      <c r="O973" s="23">
        <f>IF(J973="","",H973+I973)</f>
        <v/>
      </c>
      <c r="P973" s="23">
        <f>IF(J973="","",J973-O973)</f>
        <v/>
      </c>
      <c r="Q973" s="24">
        <f>IF(OR(J973="",J973=0),"",P973/J973)</f>
        <v/>
      </c>
      <c r="R973" s="25">
        <f>IF(OR(A973="",B973=""),"",B973-A973)</f>
        <v/>
      </c>
      <c r="S973" s="26">
        <f>IF(B973="","",YEAR(B973))</f>
        <v/>
      </c>
      <c r="T973" s="27">
        <f>IF(B973="","",IF(OR(F973="Electric",F973="Plug-in",F973="Hibrid"),1,0))</f>
        <v/>
      </c>
    </row>
    <row r="974">
      <c r="A974" s="18" t="n"/>
      <c r="B974" s="18" t="n"/>
      <c r="C974" s="19" t="n"/>
      <c r="D974" s="19" t="n"/>
      <c r="E974" s="20" t="n"/>
      <c r="F974" s="19" t="n"/>
      <c r="G974" s="21" t="n"/>
      <c r="H974" s="22" t="n"/>
      <c r="I974" s="22" t="n"/>
      <c r="J974" s="22" t="n"/>
      <c r="K974" s="19" t="n"/>
      <c r="L974" s="19" t="n"/>
      <c r="M974" s="19" t="n"/>
      <c r="N974" s="19" t="n"/>
      <c r="O974" s="23">
        <f>IF(J974="","",H974+I974)</f>
        <v/>
      </c>
      <c r="P974" s="23">
        <f>IF(J974="","",J974-O974)</f>
        <v/>
      </c>
      <c r="Q974" s="24">
        <f>IF(OR(J974="",J974=0),"",P974/J974)</f>
        <v/>
      </c>
      <c r="R974" s="25">
        <f>IF(OR(A974="",B974=""),"",B974-A974)</f>
        <v/>
      </c>
      <c r="S974" s="26">
        <f>IF(B974="","",YEAR(B974))</f>
        <v/>
      </c>
      <c r="T974" s="27">
        <f>IF(B974="","",IF(OR(F974="Electric",F974="Plug-in",F974="Hibrid"),1,0))</f>
        <v/>
      </c>
    </row>
    <row r="975">
      <c r="A975" s="18" t="n"/>
      <c r="B975" s="18" t="n"/>
      <c r="C975" s="19" t="n"/>
      <c r="D975" s="19" t="n"/>
      <c r="E975" s="20" t="n"/>
      <c r="F975" s="19" t="n"/>
      <c r="G975" s="21" t="n"/>
      <c r="H975" s="22" t="n"/>
      <c r="I975" s="22" t="n"/>
      <c r="J975" s="22" t="n"/>
      <c r="K975" s="19" t="n"/>
      <c r="L975" s="19" t="n"/>
      <c r="M975" s="19" t="n"/>
      <c r="N975" s="19" t="n"/>
      <c r="O975" s="23">
        <f>IF(J975="","",H975+I975)</f>
        <v/>
      </c>
      <c r="P975" s="23">
        <f>IF(J975="","",J975-O975)</f>
        <v/>
      </c>
      <c r="Q975" s="24">
        <f>IF(OR(J975="",J975=0),"",P975/J975)</f>
        <v/>
      </c>
      <c r="R975" s="25">
        <f>IF(OR(A975="",B975=""),"",B975-A975)</f>
        <v/>
      </c>
      <c r="S975" s="26">
        <f>IF(B975="","",YEAR(B975))</f>
        <v/>
      </c>
      <c r="T975" s="27">
        <f>IF(B975="","",IF(OR(F975="Electric",F975="Plug-in",F975="Hibrid"),1,0))</f>
        <v/>
      </c>
    </row>
    <row r="976">
      <c r="A976" s="18" t="n"/>
      <c r="B976" s="18" t="n"/>
      <c r="C976" s="19" t="n"/>
      <c r="D976" s="19" t="n"/>
      <c r="E976" s="20" t="n"/>
      <c r="F976" s="19" t="n"/>
      <c r="G976" s="21" t="n"/>
      <c r="H976" s="22" t="n"/>
      <c r="I976" s="22" t="n"/>
      <c r="J976" s="22" t="n"/>
      <c r="K976" s="19" t="n"/>
      <c r="L976" s="19" t="n"/>
      <c r="M976" s="19" t="n"/>
      <c r="N976" s="19" t="n"/>
      <c r="O976" s="23">
        <f>IF(J976="","",H976+I976)</f>
        <v/>
      </c>
      <c r="P976" s="23">
        <f>IF(J976="","",J976-O976)</f>
        <v/>
      </c>
      <c r="Q976" s="24">
        <f>IF(OR(J976="",J976=0),"",P976/J976)</f>
        <v/>
      </c>
      <c r="R976" s="25">
        <f>IF(OR(A976="",B976=""),"",B976-A976)</f>
        <v/>
      </c>
      <c r="S976" s="26">
        <f>IF(B976="","",YEAR(B976))</f>
        <v/>
      </c>
      <c r="T976" s="27">
        <f>IF(B976="","",IF(OR(F976="Electric",F976="Plug-in",F976="Hibrid"),1,0))</f>
        <v/>
      </c>
    </row>
    <row r="977">
      <c r="A977" s="18" t="n"/>
      <c r="B977" s="18" t="n"/>
      <c r="C977" s="19" t="n"/>
      <c r="D977" s="19" t="n"/>
      <c r="E977" s="20" t="n"/>
      <c r="F977" s="19" t="n"/>
      <c r="G977" s="21" t="n"/>
      <c r="H977" s="22" t="n"/>
      <c r="I977" s="22" t="n"/>
      <c r="J977" s="22" t="n"/>
      <c r="K977" s="19" t="n"/>
      <c r="L977" s="19" t="n"/>
      <c r="M977" s="19" t="n"/>
      <c r="N977" s="19" t="n"/>
      <c r="O977" s="23">
        <f>IF(J977="","",H977+I977)</f>
        <v/>
      </c>
      <c r="P977" s="23">
        <f>IF(J977="","",J977-O977)</f>
        <v/>
      </c>
      <c r="Q977" s="24">
        <f>IF(OR(J977="",J977=0),"",P977/J977)</f>
        <v/>
      </c>
      <c r="R977" s="25">
        <f>IF(OR(A977="",B977=""),"",B977-A977)</f>
        <v/>
      </c>
      <c r="S977" s="26">
        <f>IF(B977="","",YEAR(B977))</f>
        <v/>
      </c>
      <c r="T977" s="27">
        <f>IF(B977="","",IF(OR(F977="Electric",F977="Plug-in",F977="Hibrid"),1,0))</f>
        <v/>
      </c>
    </row>
    <row r="978">
      <c r="A978" s="18" t="n"/>
      <c r="B978" s="18" t="n"/>
      <c r="C978" s="19" t="n"/>
      <c r="D978" s="19" t="n"/>
      <c r="E978" s="20" t="n"/>
      <c r="F978" s="19" t="n"/>
      <c r="G978" s="21" t="n"/>
      <c r="H978" s="22" t="n"/>
      <c r="I978" s="22" t="n"/>
      <c r="J978" s="22" t="n"/>
      <c r="K978" s="19" t="n"/>
      <c r="L978" s="19" t="n"/>
      <c r="M978" s="19" t="n"/>
      <c r="N978" s="19" t="n"/>
      <c r="O978" s="23">
        <f>IF(J978="","",H978+I978)</f>
        <v/>
      </c>
      <c r="P978" s="23">
        <f>IF(J978="","",J978-O978)</f>
        <v/>
      </c>
      <c r="Q978" s="24">
        <f>IF(OR(J978="",J978=0),"",P978/J978)</f>
        <v/>
      </c>
      <c r="R978" s="25">
        <f>IF(OR(A978="",B978=""),"",B978-A978)</f>
        <v/>
      </c>
      <c r="S978" s="26">
        <f>IF(B978="","",YEAR(B978))</f>
        <v/>
      </c>
      <c r="T978" s="27">
        <f>IF(B978="","",IF(OR(F978="Electric",F978="Plug-in",F978="Hibrid"),1,0))</f>
        <v/>
      </c>
    </row>
    <row r="979">
      <c r="A979" s="18" t="n"/>
      <c r="B979" s="18" t="n"/>
      <c r="C979" s="19" t="n"/>
      <c r="D979" s="19" t="n"/>
      <c r="E979" s="20" t="n"/>
      <c r="F979" s="19" t="n"/>
      <c r="G979" s="21" t="n"/>
      <c r="H979" s="22" t="n"/>
      <c r="I979" s="22" t="n"/>
      <c r="J979" s="22" t="n"/>
      <c r="K979" s="19" t="n"/>
      <c r="L979" s="19" t="n"/>
      <c r="M979" s="19" t="n"/>
      <c r="N979" s="19" t="n"/>
      <c r="O979" s="23">
        <f>IF(J979="","",H979+I979)</f>
        <v/>
      </c>
      <c r="P979" s="23">
        <f>IF(J979="","",J979-O979)</f>
        <v/>
      </c>
      <c r="Q979" s="24">
        <f>IF(OR(J979="",J979=0),"",P979/J979)</f>
        <v/>
      </c>
      <c r="R979" s="25">
        <f>IF(OR(A979="",B979=""),"",B979-A979)</f>
        <v/>
      </c>
      <c r="S979" s="26">
        <f>IF(B979="","",YEAR(B979))</f>
        <v/>
      </c>
      <c r="T979" s="27">
        <f>IF(B979="","",IF(OR(F979="Electric",F979="Plug-in",F979="Hibrid"),1,0))</f>
        <v/>
      </c>
    </row>
    <row r="980">
      <c r="A980" s="18" t="n"/>
      <c r="B980" s="18" t="n"/>
      <c r="C980" s="19" t="n"/>
      <c r="D980" s="19" t="n"/>
      <c r="E980" s="20" t="n"/>
      <c r="F980" s="19" t="n"/>
      <c r="G980" s="21" t="n"/>
      <c r="H980" s="22" t="n"/>
      <c r="I980" s="22" t="n"/>
      <c r="J980" s="22" t="n"/>
      <c r="K980" s="19" t="n"/>
      <c r="L980" s="19" t="n"/>
      <c r="M980" s="19" t="n"/>
      <c r="N980" s="19" t="n"/>
      <c r="O980" s="23">
        <f>IF(J980="","",H980+I980)</f>
        <v/>
      </c>
      <c r="P980" s="23">
        <f>IF(J980="","",J980-O980)</f>
        <v/>
      </c>
      <c r="Q980" s="24">
        <f>IF(OR(J980="",J980=0),"",P980/J980)</f>
        <v/>
      </c>
      <c r="R980" s="25">
        <f>IF(OR(A980="",B980=""),"",B980-A980)</f>
        <v/>
      </c>
      <c r="S980" s="26">
        <f>IF(B980="","",YEAR(B980))</f>
        <v/>
      </c>
      <c r="T980" s="27">
        <f>IF(B980="","",IF(OR(F980="Electric",F980="Plug-in",F980="Hibrid"),1,0))</f>
        <v/>
      </c>
    </row>
    <row r="981">
      <c r="A981" s="18" t="n"/>
      <c r="B981" s="18" t="n"/>
      <c r="C981" s="19" t="n"/>
      <c r="D981" s="19" t="n"/>
      <c r="E981" s="20" t="n"/>
      <c r="F981" s="19" t="n"/>
      <c r="G981" s="21" t="n"/>
      <c r="H981" s="22" t="n"/>
      <c r="I981" s="22" t="n"/>
      <c r="J981" s="22" t="n"/>
      <c r="K981" s="19" t="n"/>
      <c r="L981" s="19" t="n"/>
      <c r="M981" s="19" t="n"/>
      <c r="N981" s="19" t="n"/>
      <c r="O981" s="23">
        <f>IF(J981="","",H981+I981)</f>
        <v/>
      </c>
      <c r="P981" s="23">
        <f>IF(J981="","",J981-O981)</f>
        <v/>
      </c>
      <c r="Q981" s="24">
        <f>IF(OR(J981="",J981=0),"",P981/J981)</f>
        <v/>
      </c>
      <c r="R981" s="25">
        <f>IF(OR(A981="",B981=""),"",B981-A981)</f>
        <v/>
      </c>
      <c r="S981" s="26">
        <f>IF(B981="","",YEAR(B981))</f>
        <v/>
      </c>
      <c r="T981" s="27">
        <f>IF(B981="","",IF(OR(F981="Electric",F981="Plug-in",F981="Hibrid"),1,0))</f>
        <v/>
      </c>
    </row>
    <row r="982">
      <c r="A982" s="18" t="n"/>
      <c r="B982" s="18" t="n"/>
      <c r="C982" s="19" t="n"/>
      <c r="D982" s="19" t="n"/>
      <c r="E982" s="20" t="n"/>
      <c r="F982" s="19" t="n"/>
      <c r="G982" s="21" t="n"/>
      <c r="H982" s="22" t="n"/>
      <c r="I982" s="22" t="n"/>
      <c r="J982" s="22" t="n"/>
      <c r="K982" s="19" t="n"/>
      <c r="L982" s="19" t="n"/>
      <c r="M982" s="19" t="n"/>
      <c r="N982" s="19" t="n"/>
      <c r="O982" s="23">
        <f>IF(J982="","",H982+I982)</f>
        <v/>
      </c>
      <c r="P982" s="23">
        <f>IF(J982="","",J982-O982)</f>
        <v/>
      </c>
      <c r="Q982" s="24">
        <f>IF(OR(J982="",J982=0),"",P982/J982)</f>
        <v/>
      </c>
      <c r="R982" s="25">
        <f>IF(OR(A982="",B982=""),"",B982-A982)</f>
        <v/>
      </c>
      <c r="S982" s="26">
        <f>IF(B982="","",YEAR(B982))</f>
        <v/>
      </c>
      <c r="T982" s="27">
        <f>IF(B982="","",IF(OR(F982="Electric",F982="Plug-in",F982="Hibrid"),1,0))</f>
        <v/>
      </c>
    </row>
    <row r="983">
      <c r="A983" s="18" t="n"/>
      <c r="B983" s="18" t="n"/>
      <c r="C983" s="19" t="n"/>
      <c r="D983" s="19" t="n"/>
      <c r="E983" s="20" t="n"/>
      <c r="F983" s="19" t="n"/>
      <c r="G983" s="21" t="n"/>
      <c r="H983" s="22" t="n"/>
      <c r="I983" s="22" t="n"/>
      <c r="J983" s="22" t="n"/>
      <c r="K983" s="19" t="n"/>
      <c r="L983" s="19" t="n"/>
      <c r="M983" s="19" t="n"/>
      <c r="N983" s="19" t="n"/>
      <c r="O983" s="23">
        <f>IF(J983="","",H983+I983)</f>
        <v/>
      </c>
      <c r="P983" s="23">
        <f>IF(J983="","",J983-O983)</f>
        <v/>
      </c>
      <c r="Q983" s="24">
        <f>IF(OR(J983="",J983=0),"",P983/J983)</f>
        <v/>
      </c>
      <c r="R983" s="25">
        <f>IF(OR(A983="",B983=""),"",B983-A983)</f>
        <v/>
      </c>
      <c r="S983" s="26">
        <f>IF(B983="","",YEAR(B983))</f>
        <v/>
      </c>
      <c r="T983" s="27">
        <f>IF(B983="","",IF(OR(F983="Electric",F983="Plug-in",F983="Hibrid"),1,0))</f>
        <v/>
      </c>
    </row>
    <row r="984">
      <c r="A984" s="18" t="n"/>
      <c r="B984" s="18" t="n"/>
      <c r="C984" s="19" t="n"/>
      <c r="D984" s="19" t="n"/>
      <c r="E984" s="20" t="n"/>
      <c r="F984" s="19" t="n"/>
      <c r="G984" s="21" t="n"/>
      <c r="H984" s="22" t="n"/>
      <c r="I984" s="22" t="n"/>
      <c r="J984" s="22" t="n"/>
      <c r="K984" s="19" t="n"/>
      <c r="L984" s="19" t="n"/>
      <c r="M984" s="19" t="n"/>
      <c r="N984" s="19" t="n"/>
      <c r="O984" s="23">
        <f>IF(J984="","",H984+I984)</f>
        <v/>
      </c>
      <c r="P984" s="23">
        <f>IF(J984="","",J984-O984)</f>
        <v/>
      </c>
      <c r="Q984" s="24">
        <f>IF(OR(J984="",J984=0),"",P984/J984)</f>
        <v/>
      </c>
      <c r="R984" s="25">
        <f>IF(OR(A984="",B984=""),"",B984-A984)</f>
        <v/>
      </c>
      <c r="S984" s="26">
        <f>IF(B984="","",YEAR(B984))</f>
        <v/>
      </c>
      <c r="T984" s="27">
        <f>IF(B984="","",IF(OR(F984="Electric",F984="Plug-in",F984="Hibrid"),1,0))</f>
        <v/>
      </c>
    </row>
    <row r="985">
      <c r="A985" s="18" t="n"/>
      <c r="B985" s="18" t="n"/>
      <c r="C985" s="19" t="n"/>
      <c r="D985" s="19" t="n"/>
      <c r="E985" s="20" t="n"/>
      <c r="F985" s="19" t="n"/>
      <c r="G985" s="21" t="n"/>
      <c r="H985" s="22" t="n"/>
      <c r="I985" s="22" t="n"/>
      <c r="J985" s="22" t="n"/>
      <c r="K985" s="19" t="n"/>
      <c r="L985" s="19" t="n"/>
      <c r="M985" s="19" t="n"/>
      <c r="N985" s="19" t="n"/>
      <c r="O985" s="23">
        <f>IF(J985="","",H985+I985)</f>
        <v/>
      </c>
      <c r="P985" s="23">
        <f>IF(J985="","",J985-O985)</f>
        <v/>
      </c>
      <c r="Q985" s="24">
        <f>IF(OR(J985="",J985=0),"",P985/J985)</f>
        <v/>
      </c>
      <c r="R985" s="25">
        <f>IF(OR(A985="",B985=""),"",B985-A985)</f>
        <v/>
      </c>
      <c r="S985" s="26">
        <f>IF(B985="","",YEAR(B985))</f>
        <v/>
      </c>
      <c r="T985" s="27">
        <f>IF(B985="","",IF(OR(F985="Electric",F985="Plug-in",F985="Hibrid"),1,0))</f>
        <v/>
      </c>
    </row>
    <row r="986">
      <c r="A986" s="18" t="n"/>
      <c r="B986" s="18" t="n"/>
      <c r="C986" s="19" t="n"/>
      <c r="D986" s="19" t="n"/>
      <c r="E986" s="20" t="n"/>
      <c r="F986" s="19" t="n"/>
      <c r="G986" s="21" t="n"/>
      <c r="H986" s="22" t="n"/>
      <c r="I986" s="22" t="n"/>
      <c r="J986" s="22" t="n"/>
      <c r="K986" s="19" t="n"/>
      <c r="L986" s="19" t="n"/>
      <c r="M986" s="19" t="n"/>
      <c r="N986" s="19" t="n"/>
      <c r="O986" s="23">
        <f>IF(J986="","",H986+I986)</f>
        <v/>
      </c>
      <c r="P986" s="23">
        <f>IF(J986="","",J986-O986)</f>
        <v/>
      </c>
      <c r="Q986" s="24">
        <f>IF(OR(J986="",J986=0),"",P986/J986)</f>
        <v/>
      </c>
      <c r="R986" s="25">
        <f>IF(OR(A986="",B986=""),"",B986-A986)</f>
        <v/>
      </c>
      <c r="S986" s="26">
        <f>IF(B986="","",YEAR(B986))</f>
        <v/>
      </c>
      <c r="T986" s="27">
        <f>IF(B986="","",IF(OR(F986="Electric",F986="Plug-in",F986="Hibrid"),1,0))</f>
        <v/>
      </c>
    </row>
    <row r="987">
      <c r="A987" s="18" t="n"/>
      <c r="B987" s="18" t="n"/>
      <c r="C987" s="19" t="n"/>
      <c r="D987" s="19" t="n"/>
      <c r="E987" s="20" t="n"/>
      <c r="F987" s="19" t="n"/>
      <c r="G987" s="21" t="n"/>
      <c r="H987" s="22" t="n"/>
      <c r="I987" s="22" t="n"/>
      <c r="J987" s="22" t="n"/>
      <c r="K987" s="19" t="n"/>
      <c r="L987" s="19" t="n"/>
      <c r="M987" s="19" t="n"/>
      <c r="N987" s="19" t="n"/>
      <c r="O987" s="23">
        <f>IF(J987="","",H987+I987)</f>
        <v/>
      </c>
      <c r="P987" s="23">
        <f>IF(J987="","",J987-O987)</f>
        <v/>
      </c>
      <c r="Q987" s="24">
        <f>IF(OR(J987="",J987=0),"",P987/J987)</f>
        <v/>
      </c>
      <c r="R987" s="25">
        <f>IF(OR(A987="",B987=""),"",B987-A987)</f>
        <v/>
      </c>
      <c r="S987" s="26">
        <f>IF(B987="","",YEAR(B987))</f>
        <v/>
      </c>
      <c r="T987" s="27">
        <f>IF(B987="","",IF(OR(F987="Electric",F987="Plug-in",F987="Hibrid"),1,0))</f>
        <v/>
      </c>
    </row>
    <row r="988">
      <c r="A988" s="18" t="n"/>
      <c r="B988" s="18" t="n"/>
      <c r="C988" s="19" t="n"/>
      <c r="D988" s="19" t="n"/>
      <c r="E988" s="20" t="n"/>
      <c r="F988" s="19" t="n"/>
      <c r="G988" s="21" t="n"/>
      <c r="H988" s="22" t="n"/>
      <c r="I988" s="22" t="n"/>
      <c r="J988" s="22" t="n"/>
      <c r="K988" s="19" t="n"/>
      <c r="L988" s="19" t="n"/>
      <c r="M988" s="19" t="n"/>
      <c r="N988" s="19" t="n"/>
      <c r="O988" s="23">
        <f>IF(J988="","",H988+I988)</f>
        <v/>
      </c>
      <c r="P988" s="23">
        <f>IF(J988="","",J988-O988)</f>
        <v/>
      </c>
      <c r="Q988" s="24">
        <f>IF(OR(J988="",J988=0),"",P988/J988)</f>
        <v/>
      </c>
      <c r="R988" s="25">
        <f>IF(OR(A988="",B988=""),"",B988-A988)</f>
        <v/>
      </c>
      <c r="S988" s="26">
        <f>IF(B988="","",YEAR(B988))</f>
        <v/>
      </c>
      <c r="T988" s="27">
        <f>IF(B988="","",IF(OR(F988="Electric",F988="Plug-in",F988="Hibrid"),1,0))</f>
        <v/>
      </c>
    </row>
    <row r="989">
      <c r="A989" s="18" t="n"/>
      <c r="B989" s="18" t="n"/>
      <c r="C989" s="19" t="n"/>
      <c r="D989" s="19" t="n"/>
      <c r="E989" s="20" t="n"/>
      <c r="F989" s="19" t="n"/>
      <c r="G989" s="21" t="n"/>
      <c r="H989" s="22" t="n"/>
      <c r="I989" s="22" t="n"/>
      <c r="J989" s="22" t="n"/>
      <c r="K989" s="19" t="n"/>
      <c r="L989" s="19" t="n"/>
      <c r="M989" s="19" t="n"/>
      <c r="N989" s="19" t="n"/>
      <c r="O989" s="23">
        <f>IF(J989="","",H989+I989)</f>
        <v/>
      </c>
      <c r="P989" s="23">
        <f>IF(J989="","",J989-O989)</f>
        <v/>
      </c>
      <c r="Q989" s="24">
        <f>IF(OR(J989="",J989=0),"",P989/J989)</f>
        <v/>
      </c>
      <c r="R989" s="25">
        <f>IF(OR(A989="",B989=""),"",B989-A989)</f>
        <v/>
      </c>
      <c r="S989" s="26">
        <f>IF(B989="","",YEAR(B989))</f>
        <v/>
      </c>
      <c r="T989" s="27">
        <f>IF(B989="","",IF(OR(F989="Electric",F989="Plug-in",F989="Hibrid"),1,0))</f>
        <v/>
      </c>
    </row>
    <row r="990">
      <c r="A990" s="18" t="n"/>
      <c r="B990" s="18" t="n"/>
      <c r="C990" s="19" t="n"/>
      <c r="D990" s="19" t="n"/>
      <c r="E990" s="20" t="n"/>
      <c r="F990" s="19" t="n"/>
      <c r="G990" s="21" t="n"/>
      <c r="H990" s="22" t="n"/>
      <c r="I990" s="22" t="n"/>
      <c r="J990" s="22" t="n"/>
      <c r="K990" s="19" t="n"/>
      <c r="L990" s="19" t="n"/>
      <c r="M990" s="19" t="n"/>
      <c r="N990" s="19" t="n"/>
      <c r="O990" s="23">
        <f>IF(J990="","",H990+I990)</f>
        <v/>
      </c>
      <c r="P990" s="23">
        <f>IF(J990="","",J990-O990)</f>
        <v/>
      </c>
      <c r="Q990" s="24">
        <f>IF(OR(J990="",J990=0),"",P990/J990)</f>
        <v/>
      </c>
      <c r="R990" s="25">
        <f>IF(OR(A990="",B990=""),"",B990-A990)</f>
        <v/>
      </c>
      <c r="S990" s="26">
        <f>IF(B990="","",YEAR(B990))</f>
        <v/>
      </c>
      <c r="T990" s="27">
        <f>IF(B990="","",IF(OR(F990="Electric",F990="Plug-in",F990="Hibrid"),1,0))</f>
        <v/>
      </c>
    </row>
    <row r="991">
      <c r="A991" s="18" t="n"/>
      <c r="B991" s="18" t="n"/>
      <c r="C991" s="19" t="n"/>
      <c r="D991" s="19" t="n"/>
      <c r="E991" s="20" t="n"/>
      <c r="F991" s="19" t="n"/>
      <c r="G991" s="21" t="n"/>
      <c r="H991" s="22" t="n"/>
      <c r="I991" s="22" t="n"/>
      <c r="J991" s="22" t="n"/>
      <c r="K991" s="19" t="n"/>
      <c r="L991" s="19" t="n"/>
      <c r="M991" s="19" t="n"/>
      <c r="N991" s="19" t="n"/>
      <c r="O991" s="23">
        <f>IF(J991="","",H991+I991)</f>
        <v/>
      </c>
      <c r="P991" s="23">
        <f>IF(J991="","",J991-O991)</f>
        <v/>
      </c>
      <c r="Q991" s="24">
        <f>IF(OR(J991="",J991=0),"",P991/J991)</f>
        <v/>
      </c>
      <c r="R991" s="25">
        <f>IF(OR(A991="",B991=""),"",B991-A991)</f>
        <v/>
      </c>
      <c r="S991" s="26">
        <f>IF(B991="","",YEAR(B991))</f>
        <v/>
      </c>
      <c r="T991" s="27">
        <f>IF(B991="","",IF(OR(F991="Electric",F991="Plug-in",F991="Hibrid"),1,0))</f>
        <v/>
      </c>
    </row>
    <row r="992">
      <c r="A992" s="18" t="n"/>
      <c r="B992" s="18" t="n"/>
      <c r="C992" s="19" t="n"/>
      <c r="D992" s="19" t="n"/>
      <c r="E992" s="20" t="n"/>
      <c r="F992" s="19" t="n"/>
      <c r="G992" s="21" t="n"/>
      <c r="H992" s="22" t="n"/>
      <c r="I992" s="22" t="n"/>
      <c r="J992" s="22" t="n"/>
      <c r="K992" s="19" t="n"/>
      <c r="L992" s="19" t="n"/>
      <c r="M992" s="19" t="n"/>
      <c r="N992" s="19" t="n"/>
      <c r="O992" s="23">
        <f>IF(J992="","",H992+I992)</f>
        <v/>
      </c>
      <c r="P992" s="23">
        <f>IF(J992="","",J992-O992)</f>
        <v/>
      </c>
      <c r="Q992" s="24">
        <f>IF(OR(J992="",J992=0),"",P992/J992)</f>
        <v/>
      </c>
      <c r="R992" s="25">
        <f>IF(OR(A992="",B992=""),"",B992-A992)</f>
        <v/>
      </c>
      <c r="S992" s="26">
        <f>IF(B992="","",YEAR(B992))</f>
        <v/>
      </c>
      <c r="T992" s="27">
        <f>IF(B992="","",IF(OR(F992="Electric",F992="Plug-in",F992="Hibrid"),1,0))</f>
        <v/>
      </c>
    </row>
    <row r="993">
      <c r="A993" s="18" t="n"/>
      <c r="B993" s="18" t="n"/>
      <c r="C993" s="19" t="n"/>
      <c r="D993" s="19" t="n"/>
      <c r="E993" s="20" t="n"/>
      <c r="F993" s="19" t="n"/>
      <c r="G993" s="21" t="n"/>
      <c r="H993" s="22" t="n"/>
      <c r="I993" s="22" t="n"/>
      <c r="J993" s="22" t="n"/>
      <c r="K993" s="19" t="n"/>
      <c r="L993" s="19" t="n"/>
      <c r="M993" s="19" t="n"/>
      <c r="N993" s="19" t="n"/>
      <c r="O993" s="23">
        <f>IF(J993="","",H993+I993)</f>
        <v/>
      </c>
      <c r="P993" s="23">
        <f>IF(J993="","",J993-O993)</f>
        <v/>
      </c>
      <c r="Q993" s="24">
        <f>IF(OR(J993="",J993=0),"",P993/J993)</f>
        <v/>
      </c>
      <c r="R993" s="25">
        <f>IF(OR(A993="",B993=""),"",B993-A993)</f>
        <v/>
      </c>
      <c r="S993" s="26">
        <f>IF(B993="","",YEAR(B993))</f>
        <v/>
      </c>
      <c r="T993" s="27">
        <f>IF(B993="","",IF(OR(F993="Electric",F993="Plug-in",F993="Hibrid"),1,0))</f>
        <v/>
      </c>
    </row>
    <row r="994">
      <c r="A994" s="18" t="n"/>
      <c r="B994" s="18" t="n"/>
      <c r="C994" s="19" t="n"/>
      <c r="D994" s="19" t="n"/>
      <c r="E994" s="20" t="n"/>
      <c r="F994" s="19" t="n"/>
      <c r="G994" s="21" t="n"/>
      <c r="H994" s="22" t="n"/>
      <c r="I994" s="22" t="n"/>
      <c r="J994" s="22" t="n"/>
      <c r="K994" s="19" t="n"/>
      <c r="L994" s="19" t="n"/>
      <c r="M994" s="19" t="n"/>
      <c r="N994" s="19" t="n"/>
      <c r="O994" s="23">
        <f>IF(J994="","",H994+I994)</f>
        <v/>
      </c>
      <c r="P994" s="23">
        <f>IF(J994="","",J994-O994)</f>
        <v/>
      </c>
      <c r="Q994" s="24">
        <f>IF(OR(J994="",J994=0),"",P994/J994)</f>
        <v/>
      </c>
      <c r="R994" s="25">
        <f>IF(OR(A994="",B994=""),"",B994-A994)</f>
        <v/>
      </c>
      <c r="S994" s="26">
        <f>IF(B994="","",YEAR(B994))</f>
        <v/>
      </c>
      <c r="T994" s="27">
        <f>IF(B994="","",IF(OR(F994="Electric",F994="Plug-in",F994="Hibrid"),1,0))</f>
        <v/>
      </c>
    </row>
    <row r="995">
      <c r="A995" s="18" t="n"/>
      <c r="B995" s="18" t="n"/>
      <c r="C995" s="19" t="n"/>
      <c r="D995" s="19" t="n"/>
      <c r="E995" s="20" t="n"/>
      <c r="F995" s="19" t="n"/>
      <c r="G995" s="21" t="n"/>
      <c r="H995" s="22" t="n"/>
      <c r="I995" s="22" t="n"/>
      <c r="J995" s="22" t="n"/>
      <c r="K995" s="19" t="n"/>
      <c r="L995" s="19" t="n"/>
      <c r="M995" s="19" t="n"/>
      <c r="N995" s="19" t="n"/>
      <c r="O995" s="23">
        <f>IF(J995="","",H995+I995)</f>
        <v/>
      </c>
      <c r="P995" s="23">
        <f>IF(J995="","",J995-O995)</f>
        <v/>
      </c>
      <c r="Q995" s="24">
        <f>IF(OR(J995="",J995=0),"",P995/J995)</f>
        <v/>
      </c>
      <c r="R995" s="25">
        <f>IF(OR(A995="",B995=""),"",B995-A995)</f>
        <v/>
      </c>
      <c r="S995" s="26">
        <f>IF(B995="","",YEAR(B995))</f>
        <v/>
      </c>
      <c r="T995" s="27">
        <f>IF(B995="","",IF(OR(F995="Electric",F995="Plug-in",F995="Hibrid"),1,0))</f>
        <v/>
      </c>
    </row>
    <row r="996">
      <c r="A996" s="18" t="n"/>
      <c r="B996" s="18" t="n"/>
      <c r="C996" s="19" t="n"/>
      <c r="D996" s="19" t="n"/>
      <c r="E996" s="20" t="n"/>
      <c r="F996" s="19" t="n"/>
      <c r="G996" s="21" t="n"/>
      <c r="H996" s="22" t="n"/>
      <c r="I996" s="22" t="n"/>
      <c r="J996" s="22" t="n"/>
      <c r="K996" s="19" t="n"/>
      <c r="L996" s="19" t="n"/>
      <c r="M996" s="19" t="n"/>
      <c r="N996" s="19" t="n"/>
      <c r="O996" s="23">
        <f>IF(J996="","",H996+I996)</f>
        <v/>
      </c>
      <c r="P996" s="23">
        <f>IF(J996="","",J996-O996)</f>
        <v/>
      </c>
      <c r="Q996" s="24">
        <f>IF(OR(J996="",J996=0),"",P996/J996)</f>
        <v/>
      </c>
      <c r="R996" s="25">
        <f>IF(OR(A996="",B996=""),"",B996-A996)</f>
        <v/>
      </c>
      <c r="S996" s="26">
        <f>IF(B996="","",YEAR(B996))</f>
        <v/>
      </c>
      <c r="T996" s="27">
        <f>IF(B996="","",IF(OR(F996="Electric",F996="Plug-in",F996="Hibrid"),1,0))</f>
        <v/>
      </c>
    </row>
    <row r="997">
      <c r="A997" s="18" t="n"/>
      <c r="B997" s="18" t="n"/>
      <c r="C997" s="19" t="n"/>
      <c r="D997" s="19" t="n"/>
      <c r="E997" s="20" t="n"/>
      <c r="F997" s="19" t="n"/>
      <c r="G997" s="21" t="n"/>
      <c r="H997" s="22" t="n"/>
      <c r="I997" s="22" t="n"/>
      <c r="J997" s="22" t="n"/>
      <c r="K997" s="19" t="n"/>
      <c r="L997" s="19" t="n"/>
      <c r="M997" s="19" t="n"/>
      <c r="N997" s="19" t="n"/>
      <c r="O997" s="23">
        <f>IF(J997="","",H997+I997)</f>
        <v/>
      </c>
      <c r="P997" s="23">
        <f>IF(J997="","",J997-O997)</f>
        <v/>
      </c>
      <c r="Q997" s="24">
        <f>IF(OR(J997="",J997=0),"",P997/J997)</f>
        <v/>
      </c>
      <c r="R997" s="25">
        <f>IF(OR(A997="",B997=""),"",B997-A997)</f>
        <v/>
      </c>
      <c r="S997" s="26">
        <f>IF(B997="","",YEAR(B997))</f>
        <v/>
      </c>
      <c r="T997" s="27">
        <f>IF(B997="","",IF(OR(F997="Electric",F997="Plug-in",F997="Hibrid"),1,0))</f>
        <v/>
      </c>
    </row>
    <row r="998">
      <c r="A998" s="18" t="n"/>
      <c r="B998" s="18" t="n"/>
      <c r="C998" s="19" t="n"/>
      <c r="D998" s="19" t="n"/>
      <c r="E998" s="20" t="n"/>
      <c r="F998" s="19" t="n"/>
      <c r="G998" s="21" t="n"/>
      <c r="H998" s="22" t="n"/>
      <c r="I998" s="22" t="n"/>
      <c r="J998" s="22" t="n"/>
      <c r="K998" s="19" t="n"/>
      <c r="L998" s="19" t="n"/>
      <c r="M998" s="19" t="n"/>
      <c r="N998" s="19" t="n"/>
      <c r="O998" s="23">
        <f>IF(J998="","",H998+I998)</f>
        <v/>
      </c>
      <c r="P998" s="23">
        <f>IF(J998="","",J998-O998)</f>
        <v/>
      </c>
      <c r="Q998" s="24">
        <f>IF(OR(J998="",J998=0),"",P998/J998)</f>
        <v/>
      </c>
      <c r="R998" s="25">
        <f>IF(OR(A998="",B998=""),"",B998-A998)</f>
        <v/>
      </c>
      <c r="S998" s="26">
        <f>IF(B998="","",YEAR(B998))</f>
        <v/>
      </c>
      <c r="T998" s="27">
        <f>IF(B998="","",IF(OR(F998="Electric",F998="Plug-in",F998="Hibrid"),1,0))</f>
        <v/>
      </c>
    </row>
    <row r="999">
      <c r="A999" s="18" t="n"/>
      <c r="B999" s="18" t="n"/>
      <c r="C999" s="19" t="n"/>
      <c r="D999" s="19" t="n"/>
      <c r="E999" s="20" t="n"/>
      <c r="F999" s="19" t="n"/>
      <c r="G999" s="21" t="n"/>
      <c r="H999" s="22" t="n"/>
      <c r="I999" s="22" t="n"/>
      <c r="J999" s="22" t="n"/>
      <c r="K999" s="19" t="n"/>
      <c r="L999" s="19" t="n"/>
      <c r="M999" s="19" t="n"/>
      <c r="N999" s="19" t="n"/>
      <c r="O999" s="23">
        <f>IF(J999="","",H999+I999)</f>
        <v/>
      </c>
      <c r="P999" s="23">
        <f>IF(J999="","",J999-O999)</f>
        <v/>
      </c>
      <c r="Q999" s="24">
        <f>IF(OR(J999="",J999=0),"",P999/J999)</f>
        <v/>
      </c>
      <c r="R999" s="25">
        <f>IF(OR(A999="",B999=""),"",B999-A999)</f>
        <v/>
      </c>
      <c r="S999" s="26">
        <f>IF(B999="","",YEAR(B999))</f>
        <v/>
      </c>
      <c r="T999" s="27">
        <f>IF(B999="","",IF(OR(F999="Electric",F999="Plug-in",F999="Hibrid"),1,0))</f>
        <v/>
      </c>
    </row>
    <row r="1000">
      <c r="A1000" s="18" t="n"/>
      <c r="B1000" s="18" t="n"/>
      <c r="C1000" s="19" t="n"/>
      <c r="D1000" s="19" t="n"/>
      <c r="E1000" s="20" t="n"/>
      <c r="F1000" s="19" t="n"/>
      <c r="G1000" s="21" t="n"/>
      <c r="H1000" s="22" t="n"/>
      <c r="I1000" s="22" t="n"/>
      <c r="J1000" s="22" t="n"/>
      <c r="K1000" s="19" t="n"/>
      <c r="L1000" s="19" t="n"/>
      <c r="M1000" s="19" t="n"/>
      <c r="N1000" s="19" t="n"/>
      <c r="O1000" s="23">
        <f>IF(J1000="","",H1000+I1000)</f>
        <v/>
      </c>
      <c r="P1000" s="23">
        <f>IF(J1000="","",J1000-O1000)</f>
        <v/>
      </c>
      <c r="Q1000" s="24">
        <f>IF(OR(J1000="",J1000=0),"",P1000/J1000)</f>
        <v/>
      </c>
      <c r="R1000" s="25">
        <f>IF(OR(A1000="",B1000=""),"",B1000-A1000)</f>
        <v/>
      </c>
      <c r="S1000" s="26">
        <f>IF(B1000="","",YEAR(B1000))</f>
        <v/>
      </c>
      <c r="T1000" s="27">
        <f>IF(B1000="","",IF(OR(F1000="Electric",F1000="Plug-in",F1000="Hibrid"),1,0))</f>
        <v/>
      </c>
    </row>
    <row r="1001">
      <c r="A1001" s="18" t="n"/>
      <c r="B1001" s="18" t="n"/>
      <c r="C1001" s="19" t="n"/>
      <c r="D1001" s="19" t="n"/>
      <c r="E1001" s="20" t="n"/>
      <c r="F1001" s="19" t="n"/>
      <c r="G1001" s="21" t="n"/>
      <c r="H1001" s="22" t="n"/>
      <c r="I1001" s="22" t="n"/>
      <c r="J1001" s="22" t="n"/>
      <c r="K1001" s="19" t="n"/>
      <c r="L1001" s="19" t="n"/>
      <c r="M1001" s="19" t="n"/>
      <c r="N1001" s="19" t="n"/>
      <c r="O1001" s="23">
        <f>IF(J1001="","",H1001+I1001)</f>
        <v/>
      </c>
      <c r="P1001" s="23">
        <f>IF(J1001="","",J1001-O1001)</f>
        <v/>
      </c>
      <c r="Q1001" s="24">
        <f>IF(OR(J1001="",J1001=0),"",P1001/J1001)</f>
        <v/>
      </c>
      <c r="R1001" s="25">
        <f>IF(OR(A1001="",B1001=""),"",B1001-A1001)</f>
        <v/>
      </c>
      <c r="S1001" s="26">
        <f>IF(B1001="","",YEAR(B1001))</f>
        <v/>
      </c>
      <c r="T1001" s="27">
        <f>IF(B1001="","",IF(OR(F1001="Electric",F1001="Plug-in",F1001="Hibrid"),1,0))</f>
        <v/>
      </c>
    </row>
  </sheetData>
  <dataValidations count="6">
    <dataValidation sqref="F2:F1001" showDropDown="0" showInputMessage="0" showErrorMessage="0" allowBlank="1" errorTitle="Valoare necunoscută" error="Alege o valoare din listă." type="list">
      <formula1>"Electric,Plug-in,Hibrid,Benzină,Diesel,GPL"</formula1>
    </dataValidation>
    <dataValidation sqref="K2:K1001" showDropDown="0" showInputMessage="0" showErrorMessage="0" allowBlank="1" errorTitle="Valoare necunoscută" error="Alege o valoare din listă." type="list">
      <formula1>"Da,Nu"</formula1>
    </dataValidation>
    <dataValidation sqref="M2:M1001" showDropDown="0" showInputMessage="0" showErrorMessage="0" allowBlank="1" errorTitle="Valoare necunoscută" error="Alege o valoare din listă." type="list">
      <formula1>"Showroom,Online,Recomandare,Client revenit,Altă sursă"</formula1>
    </dataValidation>
    <dataValidation sqref="N2:N1001" showDropDown="0" showInputMessage="0" showErrorMessage="0" allowBlank="1" errorTitle="Valoare necunoscută" error="Alege o valoare din listă." type="list">
      <formula1>"Da,Nu"</formula1>
    </dataValidation>
    <dataValidation sqref="A2:A1001" showDropDown="0" showInputMessage="0" showErrorMessage="0" allowBlank="1" errorTitle="Dată invalidă" error="Scrie o dată, de exemplu 03.03.2025." type="date" operator="greaterThan">
      <formula1>36526</formula1>
    </dataValidation>
    <dataValidation sqref="B2:B1001" showDropDown="0" showInputMessage="0" showErrorMessage="0" allowBlank="1" errorTitle="Dată invalidă" error="Scrie o dată, de exemplu 03.03.2025.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2" customWidth="1" min="5" max="5"/>
    <col width="14" customWidth="1" min="6" max="6"/>
    <col width="14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12" customWidth="1" min="13" max="13"/>
  </cols>
  <sheetData>
    <row r="1">
      <c r="A1" s="1" t="inlineStr">
        <is>
          <t>Analiza vânzărilor West Auto</t>
        </is>
      </c>
    </row>
    <row r="2">
      <c r="A2" s="5" t="inlineStr">
        <is>
          <t>Se calculează singură din foaia „Vanzari”. Galben = poți schimba (ani, modele, consultanți).</t>
        </is>
      </c>
    </row>
    <row r="4">
      <c r="A4" s="3" t="inlineStr">
        <is>
          <t>Pe ani</t>
        </is>
      </c>
    </row>
    <row r="5" ht="34" customHeight="1">
      <c r="A5" s="9" t="inlineStr">
        <is>
          <t>An</t>
        </is>
      </c>
      <c r="B5" s="9" t="inlineStr">
        <is>
          <t>Mașini vândute</t>
        </is>
      </c>
      <c r="C5" s="9" t="inlineStr">
        <is>
          <t>Din care electrificate</t>
        </is>
      </c>
      <c r="D5" s="9" t="inlineStr">
        <is>
          <t>% electrificate</t>
        </is>
      </c>
      <c r="E5" s="9" t="inlineStr">
        <is>
          <t>Doar 100% electrice</t>
        </is>
      </c>
      <c r="F5" s="9" t="inlineStr">
        <is>
          <t>Venituri (€)</t>
        </is>
      </c>
      <c r="G5" s="9" t="inlineStr">
        <is>
          <t>Marjă totală (€)</t>
        </is>
      </c>
      <c r="H5" s="9" t="inlineStr">
        <is>
          <t>Marjă medie / mașină (€)</t>
        </is>
      </c>
      <c r="I5" s="9" t="inlineStr">
        <is>
          <t>Marjă %</t>
        </is>
      </c>
      <c r="J5" s="9" t="inlineStr">
        <is>
          <t>Zile medii în stoc</t>
        </is>
      </c>
      <c r="K5" s="9" t="inlineStr">
        <is>
          <t>% cu finanțare</t>
        </is>
      </c>
      <c r="L5" s="9" t="inlineStr">
        <is>
          <t>% din recomandări</t>
        </is>
      </c>
      <c r="M5" s="9" t="inlineStr">
        <is>
          <t>Reclamații</t>
        </is>
      </c>
    </row>
    <row r="6">
      <c r="A6" s="7" t="n">
        <v>2019</v>
      </c>
      <c r="B6" s="28">
        <f>COUNTIFS(Vanzari!$S$2:$S$1001,$A6)</f>
        <v/>
      </c>
      <c r="C6" s="28">
        <f>SUMIFS(Vanzari!$T$2:$T$1001,Vanzari!$S$2:$S$1001,$A6)</f>
        <v/>
      </c>
      <c r="D6" s="29">
        <f>IF(B6=0,0,C6/B6)</f>
        <v/>
      </c>
      <c r="E6" s="28">
        <f>COUNTIFS(Vanzari!$S$2:$S$1001,$A6,Vanzari!$F$2:$F$1001,"Electric")</f>
        <v/>
      </c>
      <c r="F6" s="30">
        <f>SUMIFS(Vanzari!$J$2:$J$1001,Vanzari!$S$2:$S$1001,$A6)</f>
        <v/>
      </c>
      <c r="G6" s="30">
        <f>SUMIFS(Vanzari!$P$2:$P$1001,Vanzari!$S$2:$S$1001,$A6)</f>
        <v/>
      </c>
      <c r="H6" s="30">
        <f>IF(B6=0,0,G6/B6)</f>
        <v/>
      </c>
      <c r="I6" s="29">
        <f>IF(F6=0,0,G6/F6)</f>
        <v/>
      </c>
      <c r="J6" s="31">
        <f>IFERROR(AVERAGEIFS(Vanzari!$R$2:$R$1001,Vanzari!$S$2:$S$1001,$A6),0)</f>
        <v/>
      </c>
      <c r="K6" s="29">
        <f>IF(B6=0,0,COUNTIFS(Vanzari!$S$2:$S$1001,$A6,Vanzari!$K$2:$K$1001,"Da")/B6)</f>
        <v/>
      </c>
      <c r="L6" s="29">
        <f>IF(B6=0,0,COUNTIFS(Vanzari!$S$2:$S$1001,$A6,Vanzari!$M$2:$M$1001,"Recomandare")/B6)</f>
        <v/>
      </c>
      <c r="M6" s="28">
        <f>COUNTIFS(Vanzari!$S$2:$S$1001,$A6,Vanzari!$N$2:$N$1001,"Da")</f>
        <v/>
      </c>
    </row>
    <row r="7">
      <c r="A7" s="7" t="n">
        <v>2020</v>
      </c>
      <c r="B7" s="28">
        <f>COUNTIFS(Vanzari!$S$2:$S$1001,$A7)</f>
        <v/>
      </c>
      <c r="C7" s="28">
        <f>SUMIFS(Vanzari!$T$2:$T$1001,Vanzari!$S$2:$S$1001,$A7)</f>
        <v/>
      </c>
      <c r="D7" s="29">
        <f>IF(B7=0,0,C7/B7)</f>
        <v/>
      </c>
      <c r="E7" s="28">
        <f>COUNTIFS(Vanzari!$S$2:$S$1001,$A7,Vanzari!$F$2:$F$1001,"Electric")</f>
        <v/>
      </c>
      <c r="F7" s="30">
        <f>SUMIFS(Vanzari!$J$2:$J$1001,Vanzari!$S$2:$S$1001,$A7)</f>
        <v/>
      </c>
      <c r="G7" s="30">
        <f>SUMIFS(Vanzari!$P$2:$P$1001,Vanzari!$S$2:$S$1001,$A7)</f>
        <v/>
      </c>
      <c r="H7" s="30">
        <f>IF(B7=0,0,G7/B7)</f>
        <v/>
      </c>
      <c r="I7" s="29">
        <f>IF(F7=0,0,G7/F7)</f>
        <v/>
      </c>
      <c r="J7" s="31">
        <f>IFERROR(AVERAGEIFS(Vanzari!$R$2:$R$1001,Vanzari!$S$2:$S$1001,$A7),0)</f>
        <v/>
      </c>
      <c r="K7" s="29">
        <f>IF(B7=0,0,COUNTIFS(Vanzari!$S$2:$S$1001,$A7,Vanzari!$K$2:$K$1001,"Da")/B7)</f>
        <v/>
      </c>
      <c r="L7" s="29">
        <f>IF(B7=0,0,COUNTIFS(Vanzari!$S$2:$S$1001,$A7,Vanzari!$M$2:$M$1001,"Recomandare")/B7)</f>
        <v/>
      </c>
      <c r="M7" s="28">
        <f>COUNTIFS(Vanzari!$S$2:$S$1001,$A7,Vanzari!$N$2:$N$1001,"Da")</f>
        <v/>
      </c>
    </row>
    <row r="8">
      <c r="A8" s="7" t="n">
        <v>2021</v>
      </c>
      <c r="B8" s="28">
        <f>COUNTIFS(Vanzari!$S$2:$S$1001,$A8)</f>
        <v/>
      </c>
      <c r="C8" s="28">
        <f>SUMIFS(Vanzari!$T$2:$T$1001,Vanzari!$S$2:$S$1001,$A8)</f>
        <v/>
      </c>
      <c r="D8" s="29">
        <f>IF(B8=0,0,C8/B8)</f>
        <v/>
      </c>
      <c r="E8" s="28">
        <f>COUNTIFS(Vanzari!$S$2:$S$1001,$A8,Vanzari!$F$2:$F$1001,"Electric")</f>
        <v/>
      </c>
      <c r="F8" s="30">
        <f>SUMIFS(Vanzari!$J$2:$J$1001,Vanzari!$S$2:$S$1001,$A8)</f>
        <v/>
      </c>
      <c r="G8" s="30">
        <f>SUMIFS(Vanzari!$P$2:$P$1001,Vanzari!$S$2:$S$1001,$A8)</f>
        <v/>
      </c>
      <c r="H8" s="30">
        <f>IF(B8=0,0,G8/B8)</f>
        <v/>
      </c>
      <c r="I8" s="29">
        <f>IF(F8=0,0,G8/F8)</f>
        <v/>
      </c>
      <c r="J8" s="31">
        <f>IFERROR(AVERAGEIFS(Vanzari!$R$2:$R$1001,Vanzari!$S$2:$S$1001,$A8),0)</f>
        <v/>
      </c>
      <c r="K8" s="29">
        <f>IF(B8=0,0,COUNTIFS(Vanzari!$S$2:$S$1001,$A8,Vanzari!$K$2:$K$1001,"Da")/B8)</f>
        <v/>
      </c>
      <c r="L8" s="29">
        <f>IF(B8=0,0,COUNTIFS(Vanzari!$S$2:$S$1001,$A8,Vanzari!$M$2:$M$1001,"Recomandare")/B8)</f>
        <v/>
      </c>
      <c r="M8" s="28">
        <f>COUNTIFS(Vanzari!$S$2:$S$1001,$A8,Vanzari!$N$2:$N$1001,"Da")</f>
        <v/>
      </c>
    </row>
    <row r="9">
      <c r="A9" s="7" t="n">
        <v>2022</v>
      </c>
      <c r="B9" s="28">
        <f>COUNTIFS(Vanzari!$S$2:$S$1001,$A9)</f>
        <v/>
      </c>
      <c r="C9" s="28">
        <f>SUMIFS(Vanzari!$T$2:$T$1001,Vanzari!$S$2:$S$1001,$A9)</f>
        <v/>
      </c>
      <c r="D9" s="29">
        <f>IF(B9=0,0,C9/B9)</f>
        <v/>
      </c>
      <c r="E9" s="28">
        <f>COUNTIFS(Vanzari!$S$2:$S$1001,$A9,Vanzari!$F$2:$F$1001,"Electric")</f>
        <v/>
      </c>
      <c r="F9" s="30">
        <f>SUMIFS(Vanzari!$J$2:$J$1001,Vanzari!$S$2:$S$1001,$A9)</f>
        <v/>
      </c>
      <c r="G9" s="30">
        <f>SUMIFS(Vanzari!$P$2:$P$1001,Vanzari!$S$2:$S$1001,$A9)</f>
        <v/>
      </c>
      <c r="H9" s="30">
        <f>IF(B9=0,0,G9/B9)</f>
        <v/>
      </c>
      <c r="I9" s="29">
        <f>IF(F9=0,0,G9/F9)</f>
        <v/>
      </c>
      <c r="J9" s="31">
        <f>IFERROR(AVERAGEIFS(Vanzari!$R$2:$R$1001,Vanzari!$S$2:$S$1001,$A9),0)</f>
        <v/>
      </c>
      <c r="K9" s="29">
        <f>IF(B9=0,0,COUNTIFS(Vanzari!$S$2:$S$1001,$A9,Vanzari!$K$2:$K$1001,"Da")/B9)</f>
        <v/>
      </c>
      <c r="L9" s="29">
        <f>IF(B9=0,0,COUNTIFS(Vanzari!$S$2:$S$1001,$A9,Vanzari!$M$2:$M$1001,"Recomandare")/B9)</f>
        <v/>
      </c>
      <c r="M9" s="28">
        <f>COUNTIFS(Vanzari!$S$2:$S$1001,$A9,Vanzari!$N$2:$N$1001,"Da")</f>
        <v/>
      </c>
    </row>
    <row r="10">
      <c r="A10" s="7" t="n">
        <v>2023</v>
      </c>
      <c r="B10" s="28">
        <f>COUNTIFS(Vanzari!$S$2:$S$1001,$A10)</f>
        <v/>
      </c>
      <c r="C10" s="28">
        <f>SUMIFS(Vanzari!$T$2:$T$1001,Vanzari!$S$2:$S$1001,$A10)</f>
        <v/>
      </c>
      <c r="D10" s="29">
        <f>IF(B10=0,0,C10/B10)</f>
        <v/>
      </c>
      <c r="E10" s="28">
        <f>COUNTIFS(Vanzari!$S$2:$S$1001,$A10,Vanzari!$F$2:$F$1001,"Electric")</f>
        <v/>
      </c>
      <c r="F10" s="30">
        <f>SUMIFS(Vanzari!$J$2:$J$1001,Vanzari!$S$2:$S$1001,$A10)</f>
        <v/>
      </c>
      <c r="G10" s="30">
        <f>SUMIFS(Vanzari!$P$2:$P$1001,Vanzari!$S$2:$S$1001,$A10)</f>
        <v/>
      </c>
      <c r="H10" s="30">
        <f>IF(B10=0,0,G10/B10)</f>
        <v/>
      </c>
      <c r="I10" s="29">
        <f>IF(F10=0,0,G10/F10)</f>
        <v/>
      </c>
      <c r="J10" s="31">
        <f>IFERROR(AVERAGEIFS(Vanzari!$R$2:$R$1001,Vanzari!$S$2:$S$1001,$A10),0)</f>
        <v/>
      </c>
      <c r="K10" s="29">
        <f>IF(B10=0,0,COUNTIFS(Vanzari!$S$2:$S$1001,$A10,Vanzari!$K$2:$K$1001,"Da")/B10)</f>
        <v/>
      </c>
      <c r="L10" s="29">
        <f>IF(B10=0,0,COUNTIFS(Vanzari!$S$2:$S$1001,$A10,Vanzari!$M$2:$M$1001,"Recomandare")/B10)</f>
        <v/>
      </c>
      <c r="M10" s="28">
        <f>COUNTIFS(Vanzari!$S$2:$S$1001,$A10,Vanzari!$N$2:$N$1001,"Da")</f>
        <v/>
      </c>
    </row>
    <row r="11">
      <c r="A11" s="7" t="n">
        <v>2024</v>
      </c>
      <c r="B11" s="28">
        <f>COUNTIFS(Vanzari!$S$2:$S$1001,$A11)</f>
        <v/>
      </c>
      <c r="C11" s="28">
        <f>SUMIFS(Vanzari!$T$2:$T$1001,Vanzari!$S$2:$S$1001,$A11)</f>
        <v/>
      </c>
      <c r="D11" s="29">
        <f>IF(B11=0,0,C11/B11)</f>
        <v/>
      </c>
      <c r="E11" s="28">
        <f>COUNTIFS(Vanzari!$S$2:$S$1001,$A11,Vanzari!$F$2:$F$1001,"Electric")</f>
        <v/>
      </c>
      <c r="F11" s="30">
        <f>SUMIFS(Vanzari!$J$2:$J$1001,Vanzari!$S$2:$S$1001,$A11)</f>
        <v/>
      </c>
      <c r="G11" s="30">
        <f>SUMIFS(Vanzari!$P$2:$P$1001,Vanzari!$S$2:$S$1001,$A11)</f>
        <v/>
      </c>
      <c r="H11" s="30">
        <f>IF(B11=0,0,G11/B11)</f>
        <v/>
      </c>
      <c r="I11" s="29">
        <f>IF(F11=0,0,G11/F11)</f>
        <v/>
      </c>
      <c r="J11" s="31">
        <f>IFERROR(AVERAGEIFS(Vanzari!$R$2:$R$1001,Vanzari!$S$2:$S$1001,$A11),0)</f>
        <v/>
      </c>
      <c r="K11" s="29">
        <f>IF(B11=0,0,COUNTIFS(Vanzari!$S$2:$S$1001,$A11,Vanzari!$K$2:$K$1001,"Da")/B11)</f>
        <v/>
      </c>
      <c r="L11" s="29">
        <f>IF(B11=0,0,COUNTIFS(Vanzari!$S$2:$S$1001,$A11,Vanzari!$M$2:$M$1001,"Recomandare")/B11)</f>
        <v/>
      </c>
      <c r="M11" s="28">
        <f>COUNTIFS(Vanzari!$S$2:$S$1001,$A11,Vanzari!$N$2:$N$1001,"Da")</f>
        <v/>
      </c>
    </row>
    <row r="12">
      <c r="A12" s="7" t="n">
        <v>2025</v>
      </c>
      <c r="B12" s="28">
        <f>COUNTIFS(Vanzari!$S$2:$S$1001,$A12)</f>
        <v/>
      </c>
      <c r="C12" s="28">
        <f>SUMIFS(Vanzari!$T$2:$T$1001,Vanzari!$S$2:$S$1001,$A12)</f>
        <v/>
      </c>
      <c r="D12" s="29">
        <f>IF(B12=0,0,C12/B12)</f>
        <v/>
      </c>
      <c r="E12" s="28">
        <f>COUNTIFS(Vanzari!$S$2:$S$1001,$A12,Vanzari!$F$2:$F$1001,"Electric")</f>
        <v/>
      </c>
      <c r="F12" s="30">
        <f>SUMIFS(Vanzari!$J$2:$J$1001,Vanzari!$S$2:$S$1001,$A12)</f>
        <v/>
      </c>
      <c r="G12" s="30">
        <f>SUMIFS(Vanzari!$P$2:$P$1001,Vanzari!$S$2:$S$1001,$A12)</f>
        <v/>
      </c>
      <c r="H12" s="30">
        <f>IF(B12=0,0,G12/B12)</f>
        <v/>
      </c>
      <c r="I12" s="29">
        <f>IF(F12=0,0,G12/F12)</f>
        <v/>
      </c>
      <c r="J12" s="31">
        <f>IFERROR(AVERAGEIFS(Vanzari!$R$2:$R$1001,Vanzari!$S$2:$S$1001,$A12),0)</f>
        <v/>
      </c>
      <c r="K12" s="29">
        <f>IF(B12=0,0,COUNTIFS(Vanzari!$S$2:$S$1001,$A12,Vanzari!$K$2:$K$1001,"Da")/B12)</f>
        <v/>
      </c>
      <c r="L12" s="29">
        <f>IF(B12=0,0,COUNTIFS(Vanzari!$S$2:$S$1001,$A12,Vanzari!$M$2:$M$1001,"Recomandare")/B12)</f>
        <v/>
      </c>
      <c r="M12" s="28">
        <f>COUNTIFS(Vanzari!$S$2:$S$1001,$A12,Vanzari!$N$2:$N$1001,"Da")</f>
        <v/>
      </c>
    </row>
    <row r="13">
      <c r="A13" s="7" t="n">
        <v>2026</v>
      </c>
      <c r="B13" s="28">
        <f>COUNTIFS(Vanzari!$S$2:$S$1001,$A13)</f>
        <v/>
      </c>
      <c r="C13" s="28">
        <f>SUMIFS(Vanzari!$T$2:$T$1001,Vanzari!$S$2:$S$1001,$A13)</f>
        <v/>
      </c>
      <c r="D13" s="29">
        <f>IF(B13=0,0,C13/B13)</f>
        <v/>
      </c>
      <c r="E13" s="28">
        <f>COUNTIFS(Vanzari!$S$2:$S$1001,$A13,Vanzari!$F$2:$F$1001,"Electric")</f>
        <v/>
      </c>
      <c r="F13" s="30">
        <f>SUMIFS(Vanzari!$J$2:$J$1001,Vanzari!$S$2:$S$1001,$A13)</f>
        <v/>
      </c>
      <c r="G13" s="30">
        <f>SUMIFS(Vanzari!$P$2:$P$1001,Vanzari!$S$2:$S$1001,$A13)</f>
        <v/>
      </c>
      <c r="H13" s="30">
        <f>IF(B13=0,0,G13/B13)</f>
        <v/>
      </c>
      <c r="I13" s="29">
        <f>IF(F13=0,0,G13/F13)</f>
        <v/>
      </c>
      <c r="J13" s="31">
        <f>IFERROR(AVERAGEIFS(Vanzari!$R$2:$R$1001,Vanzari!$S$2:$S$1001,$A13),0)</f>
        <v/>
      </c>
      <c r="K13" s="29">
        <f>IF(B13=0,0,COUNTIFS(Vanzari!$S$2:$S$1001,$A13,Vanzari!$K$2:$K$1001,"Da")/B13)</f>
        <v/>
      </c>
      <c r="L13" s="29">
        <f>IF(B13=0,0,COUNTIFS(Vanzari!$S$2:$S$1001,$A13,Vanzari!$M$2:$M$1001,"Recomandare")/B13)</f>
        <v/>
      </c>
      <c r="M13" s="28">
        <f>COUNTIFS(Vanzari!$S$2:$S$1001,$A13,Vanzari!$N$2:$N$1001,"Da")</f>
        <v/>
      </c>
    </row>
    <row r="14">
      <c r="A14" s="32" t="inlineStr">
        <is>
          <t>Total</t>
        </is>
      </c>
      <c r="B14" s="33">
        <f>SUM(B6:B13)</f>
        <v/>
      </c>
      <c r="C14" s="33">
        <f>SUM(C6:C13)</f>
        <v/>
      </c>
      <c r="D14" s="34">
        <f>IF(B14=0,0,C14/B14)</f>
        <v/>
      </c>
      <c r="E14" s="33">
        <f>SUM(E6:E13)</f>
        <v/>
      </c>
      <c r="F14" s="35">
        <f>SUM(F6:F13)</f>
        <v/>
      </c>
      <c r="G14" s="35">
        <f>SUM(G6:G13)</f>
        <v/>
      </c>
      <c r="H14" s="35">
        <f>IF(B14=0,0,G14/B14)</f>
        <v/>
      </c>
      <c r="I14" s="34">
        <f>IF(F14=0,0,G14/F14)</f>
        <v/>
      </c>
      <c r="J14" s="36">
        <f>IFERROR(AVERAGE(Vanzari!$R$2:$R$1001),0)</f>
        <v/>
      </c>
      <c r="K14" s="34">
        <f>IF(B14=0,0,COUNTIFS(Vanzari!$K$2:$K$1001,"Da")/B14)</f>
        <v/>
      </c>
      <c r="L14" s="34">
        <f>IF(B14=0,0,COUNTIFS(Vanzari!$M$2:$M$1001,"Recomandare")/B14)</f>
        <v/>
      </c>
      <c r="M14" s="33">
        <f>SUM(M6:M13)</f>
        <v/>
      </c>
    </row>
    <row r="15">
      <c r="A15" s="8" t="inlineStr">
        <is>
          <t>Totalul include doar anii din tabel. Schimbă anii din coloana A dacă ai vânzări în afara lor.</t>
        </is>
      </c>
    </row>
    <row r="17">
      <c r="A17" s="3" t="inlineStr">
        <is>
          <t>Pe tip de combustibil</t>
        </is>
      </c>
    </row>
    <row r="18" ht="34" customHeight="1">
      <c r="A18" s="9" t="inlineStr">
        <is>
          <t>Combustibil</t>
        </is>
      </c>
      <c r="B18" s="9" t="inlineStr">
        <is>
          <t>Mașini vândute</t>
        </is>
      </c>
      <c r="C18" s="9" t="inlineStr">
        <is>
          <t>% din total</t>
        </is>
      </c>
      <c r="D18" s="9" t="inlineStr">
        <is>
          <t>Marjă medie / mașină (€)</t>
        </is>
      </c>
      <c r="E18" s="9" t="inlineStr">
        <is>
          <t>Marjă %</t>
        </is>
      </c>
      <c r="F18" s="9" t="inlineStr">
        <is>
          <t>Zile medii în stoc</t>
        </is>
      </c>
    </row>
    <row r="19">
      <c r="A19" s="6" t="inlineStr">
        <is>
          <t>Electric</t>
        </is>
      </c>
      <c r="B19" s="28">
        <f>COUNTIFS(Vanzari!$F$2:$F$1001,$A19,Vanzari!$S$2:$S$1001,"&lt;&gt;")</f>
        <v/>
      </c>
      <c r="C19" s="29">
        <f>IF($B$14=0,0,B19/$B$14)</f>
        <v/>
      </c>
      <c r="D19" s="30">
        <f>IFERROR(AVERAGEIFS(Vanzari!$P$2:$P$1001,Vanzari!$F$2:$F$1001,$A19),0)</f>
        <v/>
      </c>
      <c r="E19" s="29">
        <f>IFERROR(SUMIFS(Vanzari!$P$2:$P$1001,Vanzari!$F$2:$F$1001,$A19)/SUMIFS(Vanzari!$J$2:$J$1001,Vanzari!$F$2:$F$1001,$A19),0)</f>
        <v/>
      </c>
      <c r="F19" s="31">
        <f>IFERROR(AVERAGEIFS(Vanzari!$R$2:$R$1001,Vanzari!$F$2:$F$1001,$A19),0)</f>
        <v/>
      </c>
    </row>
    <row r="20">
      <c r="A20" s="6" t="inlineStr">
        <is>
          <t>Plug-in</t>
        </is>
      </c>
      <c r="B20" s="28">
        <f>COUNTIFS(Vanzari!$F$2:$F$1001,$A20,Vanzari!$S$2:$S$1001,"&lt;&gt;")</f>
        <v/>
      </c>
      <c r="C20" s="29">
        <f>IF($B$14=0,0,B20/$B$14)</f>
        <v/>
      </c>
      <c r="D20" s="30">
        <f>IFERROR(AVERAGEIFS(Vanzari!$P$2:$P$1001,Vanzari!$F$2:$F$1001,$A20),0)</f>
        <v/>
      </c>
      <c r="E20" s="29">
        <f>IFERROR(SUMIFS(Vanzari!$P$2:$P$1001,Vanzari!$F$2:$F$1001,$A20)/SUMIFS(Vanzari!$J$2:$J$1001,Vanzari!$F$2:$F$1001,$A20),0)</f>
        <v/>
      </c>
      <c r="F20" s="31">
        <f>IFERROR(AVERAGEIFS(Vanzari!$R$2:$R$1001,Vanzari!$F$2:$F$1001,$A20),0)</f>
        <v/>
      </c>
    </row>
    <row r="21">
      <c r="A21" s="6" t="inlineStr">
        <is>
          <t>Hibrid</t>
        </is>
      </c>
      <c r="B21" s="28">
        <f>COUNTIFS(Vanzari!$F$2:$F$1001,$A21,Vanzari!$S$2:$S$1001,"&lt;&gt;")</f>
        <v/>
      </c>
      <c r="C21" s="29">
        <f>IF($B$14=0,0,B21/$B$14)</f>
        <v/>
      </c>
      <c r="D21" s="30">
        <f>IFERROR(AVERAGEIFS(Vanzari!$P$2:$P$1001,Vanzari!$F$2:$F$1001,$A21),0)</f>
        <v/>
      </c>
      <c r="E21" s="29">
        <f>IFERROR(SUMIFS(Vanzari!$P$2:$P$1001,Vanzari!$F$2:$F$1001,$A21)/SUMIFS(Vanzari!$J$2:$J$1001,Vanzari!$F$2:$F$1001,$A21),0)</f>
        <v/>
      </c>
      <c r="F21" s="31">
        <f>IFERROR(AVERAGEIFS(Vanzari!$R$2:$R$1001,Vanzari!$F$2:$F$1001,$A21),0)</f>
        <v/>
      </c>
    </row>
    <row r="22">
      <c r="A22" s="6" t="inlineStr">
        <is>
          <t>Benzină</t>
        </is>
      </c>
      <c r="B22" s="28">
        <f>COUNTIFS(Vanzari!$F$2:$F$1001,$A22,Vanzari!$S$2:$S$1001,"&lt;&gt;")</f>
        <v/>
      </c>
      <c r="C22" s="29">
        <f>IF($B$14=0,0,B22/$B$14)</f>
        <v/>
      </c>
      <c r="D22" s="30">
        <f>IFERROR(AVERAGEIFS(Vanzari!$P$2:$P$1001,Vanzari!$F$2:$F$1001,$A22),0)</f>
        <v/>
      </c>
      <c r="E22" s="29">
        <f>IFERROR(SUMIFS(Vanzari!$P$2:$P$1001,Vanzari!$F$2:$F$1001,$A22)/SUMIFS(Vanzari!$J$2:$J$1001,Vanzari!$F$2:$F$1001,$A22),0)</f>
        <v/>
      </c>
      <c r="F22" s="31">
        <f>IFERROR(AVERAGEIFS(Vanzari!$R$2:$R$1001,Vanzari!$F$2:$F$1001,$A22),0)</f>
        <v/>
      </c>
    </row>
    <row r="23">
      <c r="A23" s="6" t="inlineStr">
        <is>
          <t>Diesel</t>
        </is>
      </c>
      <c r="B23" s="28">
        <f>COUNTIFS(Vanzari!$F$2:$F$1001,$A23,Vanzari!$S$2:$S$1001,"&lt;&gt;")</f>
        <v/>
      </c>
      <c r="C23" s="29">
        <f>IF($B$14=0,0,B23/$B$14)</f>
        <v/>
      </c>
      <c r="D23" s="30">
        <f>IFERROR(AVERAGEIFS(Vanzari!$P$2:$P$1001,Vanzari!$F$2:$F$1001,$A23),0)</f>
        <v/>
      </c>
      <c r="E23" s="29">
        <f>IFERROR(SUMIFS(Vanzari!$P$2:$P$1001,Vanzari!$F$2:$F$1001,$A23)/SUMIFS(Vanzari!$J$2:$J$1001,Vanzari!$F$2:$F$1001,$A23),0)</f>
        <v/>
      </c>
      <c r="F23" s="31">
        <f>IFERROR(AVERAGEIFS(Vanzari!$R$2:$R$1001,Vanzari!$F$2:$F$1001,$A23),0)</f>
        <v/>
      </c>
    </row>
    <row r="24">
      <c r="A24" s="6" t="inlineStr">
        <is>
          <t>GPL</t>
        </is>
      </c>
      <c r="B24" s="28">
        <f>COUNTIFS(Vanzari!$F$2:$F$1001,$A24,Vanzari!$S$2:$S$1001,"&lt;&gt;")</f>
        <v/>
      </c>
      <c r="C24" s="29">
        <f>IF($B$14=0,0,B24/$B$14)</f>
        <v/>
      </c>
      <c r="D24" s="30">
        <f>IFERROR(AVERAGEIFS(Vanzari!$P$2:$P$1001,Vanzari!$F$2:$F$1001,$A24),0)</f>
        <v/>
      </c>
      <c r="E24" s="29">
        <f>IFERROR(SUMIFS(Vanzari!$P$2:$P$1001,Vanzari!$F$2:$F$1001,$A24)/SUMIFS(Vanzari!$J$2:$J$1001,Vanzari!$F$2:$F$1001,$A24),0)</f>
        <v/>
      </c>
      <c r="F24" s="31">
        <f>IFERROR(AVERAGEIFS(Vanzari!$R$2:$R$1001,Vanzari!$F$2:$F$1001,$A24),0)</f>
        <v/>
      </c>
    </row>
    <row r="26">
      <c r="A26" s="3" t="inlineStr">
        <is>
          <t>Pe model (scrii tu marca și modelul)</t>
        </is>
      </c>
      <c r="H26" s="3" t="inlineStr">
        <is>
          <t>Pe consultant (scrii tu numele)</t>
        </is>
      </c>
    </row>
    <row r="27" ht="34" customHeight="1">
      <c r="A27" s="9" t="inlineStr">
        <is>
          <t>Marcă</t>
        </is>
      </c>
      <c r="B27" s="9" t="inlineStr">
        <is>
          <t>Model</t>
        </is>
      </c>
      <c r="C27" s="9" t="inlineStr">
        <is>
          <t>Mașini vândute</t>
        </is>
      </c>
      <c r="D27" s="9" t="inlineStr">
        <is>
          <t>Marjă medie / mașină (€)</t>
        </is>
      </c>
      <c r="E27" s="9" t="inlineStr">
        <is>
          <t>Zile medii în stoc</t>
        </is>
      </c>
      <c r="F27" s="9" t="inlineStr">
        <is>
          <t>Preț mediu de vânzare (€)</t>
        </is>
      </c>
      <c r="H27" s="9" t="inlineStr">
        <is>
          <t>Consultant</t>
        </is>
      </c>
      <c r="I27" s="9" t="inlineStr">
        <is>
          <t>Mașini vândute</t>
        </is>
      </c>
      <c r="J27" s="9" t="inlineStr">
        <is>
          <t>Marjă medie / mașină (€)</t>
        </is>
      </c>
      <c r="K27" s="9" t="inlineStr">
        <is>
          <t>% cu finanțare</t>
        </is>
      </c>
      <c r="L27" s="9" t="inlineStr">
        <is>
          <t>Reclamații</t>
        </is>
      </c>
    </row>
    <row r="28">
      <c r="A28" s="17" t="inlineStr">
        <is>
          <t>Tesla</t>
        </is>
      </c>
      <c r="B28" s="17" t="inlineStr">
        <is>
          <t>Model 3</t>
        </is>
      </c>
      <c r="C28" s="28">
        <f>IF(A28="",0,COUNTIFS(Vanzari!$C$2:$C$1001,$A28,Vanzari!$D$2:$D$1001,$B28))</f>
        <v/>
      </c>
      <c r="D28" s="30">
        <f>IF(C28=0,0,AVERAGEIFS(Vanzari!$P$2:$P$1001,Vanzari!$C$2:$C$1001,$A28,Vanzari!$D$2:$D$1001,$B28))</f>
        <v/>
      </c>
      <c r="E28" s="31">
        <f>IFERROR(AVERAGEIFS(Vanzari!$R$2:$R$1001,Vanzari!$C$2:$C$1001,$A28,Vanzari!$D$2:$D$1001,$B28),0)</f>
        <v/>
      </c>
      <c r="F28" s="30">
        <f>IF(C28=0,0,AVERAGEIFS(Vanzari!$J$2:$J$1001,Vanzari!$C$2:$C$1001,$A28,Vanzari!$D$2:$D$1001,$B28))</f>
        <v/>
      </c>
      <c r="H28" s="17" t="n"/>
      <c r="I28" s="28">
        <f>IF(H28="",0,COUNTIFS(Vanzari!$L$2:$L$1001,$H28,Vanzari!$S$2:$S$1001,"&lt;&gt;"))</f>
        <v/>
      </c>
      <c r="J28" s="30">
        <f>IF(I28=0,0,AVERAGEIFS(Vanzari!$P$2:$P$1001,Vanzari!$L$2:$L$1001,$H28))</f>
        <v/>
      </c>
      <c r="K28" s="29">
        <f>IF(I28=0,0,COUNTIFS(Vanzari!$L$2:$L$1001,$H28,Vanzari!$K$2:$K$1001,"Da")/I28)</f>
        <v/>
      </c>
      <c r="L28" s="28">
        <f>IF(H28="",0,COUNTIFS(Vanzari!$L$2:$L$1001,$H28,Vanzari!$N$2:$N$1001,"Da"))</f>
        <v/>
      </c>
    </row>
    <row r="29">
      <c r="A29" s="17" t="inlineStr">
        <is>
          <t>Tesla</t>
        </is>
      </c>
      <c r="B29" s="17" t="inlineStr">
        <is>
          <t>Model Y</t>
        </is>
      </c>
      <c r="C29" s="28">
        <f>IF(A29="",0,COUNTIFS(Vanzari!$C$2:$C$1001,$A29,Vanzari!$D$2:$D$1001,$B29))</f>
        <v/>
      </c>
      <c r="D29" s="30">
        <f>IF(C29=0,0,AVERAGEIFS(Vanzari!$P$2:$P$1001,Vanzari!$C$2:$C$1001,$A29,Vanzari!$D$2:$D$1001,$B29))</f>
        <v/>
      </c>
      <c r="E29" s="31">
        <f>IFERROR(AVERAGEIFS(Vanzari!$R$2:$R$1001,Vanzari!$C$2:$C$1001,$A29,Vanzari!$D$2:$D$1001,$B29),0)</f>
        <v/>
      </c>
      <c r="F29" s="30">
        <f>IF(C29=0,0,AVERAGEIFS(Vanzari!$J$2:$J$1001,Vanzari!$C$2:$C$1001,$A29,Vanzari!$D$2:$D$1001,$B29))</f>
        <v/>
      </c>
      <c r="H29" s="17" t="n"/>
      <c r="I29" s="28">
        <f>IF(H29="",0,COUNTIFS(Vanzari!$L$2:$L$1001,$H29,Vanzari!$S$2:$S$1001,"&lt;&gt;"))</f>
        <v/>
      </c>
      <c r="J29" s="30">
        <f>IF(I29=0,0,AVERAGEIFS(Vanzari!$P$2:$P$1001,Vanzari!$L$2:$L$1001,$H29))</f>
        <v/>
      </c>
      <c r="K29" s="29">
        <f>IF(I29=0,0,COUNTIFS(Vanzari!$L$2:$L$1001,$H29,Vanzari!$K$2:$K$1001,"Da")/I29)</f>
        <v/>
      </c>
      <c r="L29" s="28">
        <f>IF(H29="",0,COUNTIFS(Vanzari!$L$2:$L$1001,$H29,Vanzari!$N$2:$N$1001,"Da"))</f>
        <v/>
      </c>
    </row>
    <row r="30">
      <c r="A30" s="17" t="inlineStr">
        <is>
          <t>Tesla</t>
        </is>
      </c>
      <c r="B30" s="17" t="inlineStr">
        <is>
          <t>Model S</t>
        </is>
      </c>
      <c r="C30" s="28">
        <f>IF(A30="",0,COUNTIFS(Vanzari!$C$2:$C$1001,$A30,Vanzari!$D$2:$D$1001,$B30))</f>
        <v/>
      </c>
      <c r="D30" s="30">
        <f>IF(C30=0,0,AVERAGEIFS(Vanzari!$P$2:$P$1001,Vanzari!$C$2:$C$1001,$A30,Vanzari!$D$2:$D$1001,$B30))</f>
        <v/>
      </c>
      <c r="E30" s="31">
        <f>IFERROR(AVERAGEIFS(Vanzari!$R$2:$R$1001,Vanzari!$C$2:$C$1001,$A30,Vanzari!$D$2:$D$1001,$B30),0)</f>
        <v/>
      </c>
      <c r="F30" s="30">
        <f>IF(C30=0,0,AVERAGEIFS(Vanzari!$J$2:$J$1001,Vanzari!$C$2:$C$1001,$A30,Vanzari!$D$2:$D$1001,$B30))</f>
        <v/>
      </c>
      <c r="H30" s="17" t="n"/>
      <c r="I30" s="28">
        <f>IF(H30="",0,COUNTIFS(Vanzari!$L$2:$L$1001,$H30,Vanzari!$S$2:$S$1001,"&lt;&gt;"))</f>
        <v/>
      </c>
      <c r="J30" s="30">
        <f>IF(I30=0,0,AVERAGEIFS(Vanzari!$P$2:$P$1001,Vanzari!$L$2:$L$1001,$H30))</f>
        <v/>
      </c>
      <c r="K30" s="29">
        <f>IF(I30=0,0,COUNTIFS(Vanzari!$L$2:$L$1001,$H30,Vanzari!$K$2:$K$1001,"Da")/I30)</f>
        <v/>
      </c>
      <c r="L30" s="28">
        <f>IF(H30="",0,COUNTIFS(Vanzari!$L$2:$L$1001,$H30,Vanzari!$N$2:$N$1001,"Da"))</f>
        <v/>
      </c>
    </row>
    <row r="31">
      <c r="A31" s="17" t="inlineStr">
        <is>
          <t>Tesla</t>
        </is>
      </c>
      <c r="B31" s="17" t="inlineStr">
        <is>
          <t>Model X</t>
        </is>
      </c>
      <c r="C31" s="28">
        <f>IF(A31="",0,COUNTIFS(Vanzari!$C$2:$C$1001,$A31,Vanzari!$D$2:$D$1001,$B31))</f>
        <v/>
      </c>
      <c r="D31" s="30">
        <f>IF(C31=0,0,AVERAGEIFS(Vanzari!$P$2:$P$1001,Vanzari!$C$2:$C$1001,$A31,Vanzari!$D$2:$D$1001,$B31))</f>
        <v/>
      </c>
      <c r="E31" s="31">
        <f>IFERROR(AVERAGEIFS(Vanzari!$R$2:$R$1001,Vanzari!$C$2:$C$1001,$A31,Vanzari!$D$2:$D$1001,$B31),0)</f>
        <v/>
      </c>
      <c r="F31" s="30">
        <f>IF(C31=0,0,AVERAGEIFS(Vanzari!$J$2:$J$1001,Vanzari!$C$2:$C$1001,$A31,Vanzari!$D$2:$D$1001,$B31))</f>
        <v/>
      </c>
      <c r="H31" s="17" t="n"/>
      <c r="I31" s="28">
        <f>IF(H31="",0,COUNTIFS(Vanzari!$L$2:$L$1001,$H31,Vanzari!$S$2:$S$1001,"&lt;&gt;"))</f>
        <v/>
      </c>
      <c r="J31" s="30">
        <f>IF(I31=0,0,AVERAGEIFS(Vanzari!$P$2:$P$1001,Vanzari!$L$2:$L$1001,$H31))</f>
        <v/>
      </c>
      <c r="K31" s="29">
        <f>IF(I31=0,0,COUNTIFS(Vanzari!$L$2:$L$1001,$H31,Vanzari!$K$2:$K$1001,"Da")/I31)</f>
        <v/>
      </c>
      <c r="L31" s="28">
        <f>IF(H31="",0,COUNTIFS(Vanzari!$L$2:$L$1001,$H31,Vanzari!$N$2:$N$1001,"Da"))</f>
        <v/>
      </c>
    </row>
    <row r="32">
      <c r="A32" s="17" t="n"/>
      <c r="B32" s="17" t="n"/>
      <c r="C32" s="28">
        <f>IF(A32="",0,COUNTIFS(Vanzari!$C$2:$C$1001,$A32,Vanzari!$D$2:$D$1001,$B32))</f>
        <v/>
      </c>
      <c r="D32" s="30">
        <f>IF(C32=0,0,AVERAGEIFS(Vanzari!$P$2:$P$1001,Vanzari!$C$2:$C$1001,$A32,Vanzari!$D$2:$D$1001,$B32))</f>
        <v/>
      </c>
      <c r="E32" s="31">
        <f>IFERROR(AVERAGEIFS(Vanzari!$R$2:$R$1001,Vanzari!$C$2:$C$1001,$A32,Vanzari!$D$2:$D$1001,$B32),0)</f>
        <v/>
      </c>
      <c r="F32" s="30">
        <f>IF(C32=0,0,AVERAGEIFS(Vanzari!$J$2:$J$1001,Vanzari!$C$2:$C$1001,$A32,Vanzari!$D$2:$D$1001,$B32))</f>
        <v/>
      </c>
      <c r="H32" s="17" t="n"/>
      <c r="I32" s="28">
        <f>IF(H32="",0,COUNTIFS(Vanzari!$L$2:$L$1001,$H32,Vanzari!$S$2:$S$1001,"&lt;&gt;"))</f>
        <v/>
      </c>
      <c r="J32" s="30">
        <f>IF(I32=0,0,AVERAGEIFS(Vanzari!$P$2:$P$1001,Vanzari!$L$2:$L$1001,$H32))</f>
        <v/>
      </c>
      <c r="K32" s="29">
        <f>IF(I32=0,0,COUNTIFS(Vanzari!$L$2:$L$1001,$H32,Vanzari!$K$2:$K$1001,"Da")/I32)</f>
        <v/>
      </c>
      <c r="L32" s="28">
        <f>IF(H32="",0,COUNTIFS(Vanzari!$L$2:$L$1001,$H32,Vanzari!$N$2:$N$1001,"Da"))</f>
        <v/>
      </c>
    </row>
    <row r="33">
      <c r="A33" s="17" t="n"/>
      <c r="B33" s="17" t="n"/>
      <c r="C33" s="28">
        <f>IF(A33="",0,COUNTIFS(Vanzari!$C$2:$C$1001,$A33,Vanzari!$D$2:$D$1001,$B33))</f>
        <v/>
      </c>
      <c r="D33" s="30">
        <f>IF(C33=0,0,AVERAGEIFS(Vanzari!$P$2:$P$1001,Vanzari!$C$2:$C$1001,$A33,Vanzari!$D$2:$D$1001,$B33))</f>
        <v/>
      </c>
      <c r="E33" s="31">
        <f>IFERROR(AVERAGEIFS(Vanzari!$R$2:$R$1001,Vanzari!$C$2:$C$1001,$A33,Vanzari!$D$2:$D$1001,$B33),0)</f>
        <v/>
      </c>
      <c r="F33" s="30">
        <f>IF(C33=0,0,AVERAGEIFS(Vanzari!$J$2:$J$1001,Vanzari!$C$2:$C$1001,$A33,Vanzari!$D$2:$D$1001,$B33))</f>
        <v/>
      </c>
      <c r="H33" s="17" t="n"/>
      <c r="I33" s="28">
        <f>IF(H33="",0,COUNTIFS(Vanzari!$L$2:$L$1001,$H33,Vanzari!$S$2:$S$1001,"&lt;&gt;"))</f>
        <v/>
      </c>
      <c r="J33" s="30">
        <f>IF(I33=0,0,AVERAGEIFS(Vanzari!$P$2:$P$1001,Vanzari!$L$2:$L$1001,$H33))</f>
        <v/>
      </c>
      <c r="K33" s="29">
        <f>IF(I33=0,0,COUNTIFS(Vanzari!$L$2:$L$1001,$H33,Vanzari!$K$2:$K$1001,"Da")/I33)</f>
        <v/>
      </c>
      <c r="L33" s="28">
        <f>IF(H33="",0,COUNTIFS(Vanzari!$L$2:$L$1001,$H33,Vanzari!$N$2:$N$1001,"Da"))</f>
        <v/>
      </c>
    </row>
    <row r="34">
      <c r="A34" s="17" t="n"/>
      <c r="B34" s="17" t="n"/>
      <c r="C34" s="28">
        <f>IF(A34="",0,COUNTIFS(Vanzari!$C$2:$C$1001,$A34,Vanzari!$D$2:$D$1001,$B34))</f>
        <v/>
      </c>
      <c r="D34" s="30">
        <f>IF(C34=0,0,AVERAGEIFS(Vanzari!$P$2:$P$1001,Vanzari!$C$2:$C$1001,$A34,Vanzari!$D$2:$D$1001,$B34))</f>
        <v/>
      </c>
      <c r="E34" s="31">
        <f>IFERROR(AVERAGEIFS(Vanzari!$R$2:$R$1001,Vanzari!$C$2:$C$1001,$A34,Vanzari!$D$2:$D$1001,$B34),0)</f>
        <v/>
      </c>
      <c r="F34" s="30">
        <f>IF(C34=0,0,AVERAGEIFS(Vanzari!$J$2:$J$1001,Vanzari!$C$2:$C$1001,$A34,Vanzari!$D$2:$D$1001,$B34))</f>
        <v/>
      </c>
      <c r="H34" s="17" t="n"/>
      <c r="I34" s="28">
        <f>IF(H34="",0,COUNTIFS(Vanzari!$L$2:$L$1001,$H34,Vanzari!$S$2:$S$1001,"&lt;&gt;"))</f>
        <v/>
      </c>
      <c r="J34" s="30">
        <f>IF(I34=0,0,AVERAGEIFS(Vanzari!$P$2:$P$1001,Vanzari!$L$2:$L$1001,$H34))</f>
        <v/>
      </c>
      <c r="K34" s="29">
        <f>IF(I34=0,0,COUNTIFS(Vanzari!$L$2:$L$1001,$H34,Vanzari!$K$2:$K$1001,"Da")/I34)</f>
        <v/>
      </c>
      <c r="L34" s="28">
        <f>IF(H34="",0,COUNTIFS(Vanzari!$L$2:$L$1001,$H34,Vanzari!$N$2:$N$1001,"Da"))</f>
        <v/>
      </c>
    </row>
    <row r="35">
      <c r="A35" s="17" t="n"/>
      <c r="B35" s="17" t="n"/>
      <c r="C35" s="28">
        <f>IF(A35="",0,COUNTIFS(Vanzari!$C$2:$C$1001,$A35,Vanzari!$D$2:$D$1001,$B35))</f>
        <v/>
      </c>
      <c r="D35" s="30">
        <f>IF(C35=0,0,AVERAGEIFS(Vanzari!$P$2:$P$1001,Vanzari!$C$2:$C$1001,$A35,Vanzari!$D$2:$D$1001,$B35))</f>
        <v/>
      </c>
      <c r="E35" s="31">
        <f>IFERROR(AVERAGEIFS(Vanzari!$R$2:$R$1001,Vanzari!$C$2:$C$1001,$A35,Vanzari!$D$2:$D$1001,$B35),0)</f>
        <v/>
      </c>
      <c r="F35" s="30">
        <f>IF(C35=0,0,AVERAGEIFS(Vanzari!$J$2:$J$1001,Vanzari!$C$2:$C$1001,$A35,Vanzari!$D$2:$D$1001,$B35))</f>
        <v/>
      </c>
      <c r="H35" s="17" t="n"/>
      <c r="I35" s="28">
        <f>IF(H35="",0,COUNTIFS(Vanzari!$L$2:$L$1001,$H35,Vanzari!$S$2:$S$1001,"&lt;&gt;"))</f>
        <v/>
      </c>
      <c r="J35" s="30">
        <f>IF(I35=0,0,AVERAGEIFS(Vanzari!$P$2:$P$1001,Vanzari!$L$2:$L$1001,$H35))</f>
        <v/>
      </c>
      <c r="K35" s="29">
        <f>IF(I35=0,0,COUNTIFS(Vanzari!$L$2:$L$1001,$H35,Vanzari!$K$2:$K$1001,"Da")/I35)</f>
        <v/>
      </c>
      <c r="L35" s="28">
        <f>IF(H35="",0,COUNTIFS(Vanzari!$L$2:$L$1001,$H35,Vanzari!$N$2:$N$1001,"Da"))</f>
        <v/>
      </c>
    </row>
    <row r="36">
      <c r="A36" s="17" t="n"/>
      <c r="B36" s="17" t="n"/>
      <c r="C36" s="28">
        <f>IF(A36="",0,COUNTIFS(Vanzari!$C$2:$C$1001,$A36,Vanzari!$D$2:$D$1001,$B36))</f>
        <v/>
      </c>
      <c r="D36" s="30">
        <f>IF(C36=0,0,AVERAGEIFS(Vanzari!$P$2:$P$1001,Vanzari!$C$2:$C$1001,$A36,Vanzari!$D$2:$D$1001,$B36))</f>
        <v/>
      </c>
      <c r="E36" s="31">
        <f>IFERROR(AVERAGEIFS(Vanzari!$R$2:$R$1001,Vanzari!$C$2:$C$1001,$A36,Vanzari!$D$2:$D$1001,$B36),0)</f>
        <v/>
      </c>
      <c r="F36" s="30">
        <f>IF(C36=0,0,AVERAGEIFS(Vanzari!$J$2:$J$1001,Vanzari!$C$2:$C$1001,$A36,Vanzari!$D$2:$D$1001,$B36))</f>
        <v/>
      </c>
    </row>
    <row r="37">
      <c r="A37" s="17" t="n"/>
      <c r="B37" s="17" t="n"/>
      <c r="C37" s="28">
        <f>IF(A37="",0,COUNTIFS(Vanzari!$C$2:$C$1001,$A37,Vanzari!$D$2:$D$1001,$B37))</f>
        <v/>
      </c>
      <c r="D37" s="30">
        <f>IF(C37=0,0,AVERAGEIFS(Vanzari!$P$2:$P$1001,Vanzari!$C$2:$C$1001,$A37,Vanzari!$D$2:$D$1001,$B37))</f>
        <v/>
      </c>
      <c r="E37" s="31">
        <f>IFERROR(AVERAGEIFS(Vanzari!$R$2:$R$1001,Vanzari!$C$2:$C$1001,$A37,Vanzari!$D$2:$D$1001,$B37),0)</f>
        <v/>
      </c>
      <c r="F37" s="30">
        <f>IF(C37=0,0,AVERAGEIFS(Vanzari!$J$2:$J$1001,Vanzari!$C$2:$C$1001,$A37,Vanzari!$D$2:$D$1001,$B37))</f>
        <v/>
      </c>
    </row>
    <row r="38">
      <c r="A38" s="17" t="n"/>
      <c r="B38" s="17" t="n"/>
      <c r="C38" s="28">
        <f>IF(A38="",0,COUNTIFS(Vanzari!$C$2:$C$1001,$A38,Vanzari!$D$2:$D$1001,$B38))</f>
        <v/>
      </c>
      <c r="D38" s="30">
        <f>IF(C38=0,0,AVERAGEIFS(Vanzari!$P$2:$P$1001,Vanzari!$C$2:$C$1001,$A38,Vanzari!$D$2:$D$1001,$B38))</f>
        <v/>
      </c>
      <c r="E38" s="31">
        <f>IFERROR(AVERAGEIFS(Vanzari!$R$2:$R$1001,Vanzari!$C$2:$C$1001,$A38,Vanzari!$D$2:$D$1001,$B38),0)</f>
        <v/>
      </c>
      <c r="F38" s="30">
        <f>IF(C38=0,0,AVERAGEIFS(Vanzari!$J$2:$J$1001,Vanzari!$C$2:$C$1001,$A38,Vanzari!$D$2:$D$1001,$B38))</f>
        <v/>
      </c>
    </row>
    <row r="39">
      <c r="A39" s="17" t="n"/>
      <c r="B39" s="17" t="n"/>
      <c r="C39" s="28">
        <f>IF(A39="",0,COUNTIFS(Vanzari!$C$2:$C$1001,$A39,Vanzari!$D$2:$D$1001,$B39))</f>
        <v/>
      </c>
      <c r="D39" s="30">
        <f>IF(C39=0,0,AVERAGEIFS(Vanzari!$P$2:$P$1001,Vanzari!$C$2:$C$1001,$A39,Vanzari!$D$2:$D$1001,$B39))</f>
        <v/>
      </c>
      <c r="E39" s="31">
        <f>IFERROR(AVERAGEIFS(Vanzari!$R$2:$R$1001,Vanzari!$C$2:$C$1001,$A39,Vanzari!$D$2:$D$1001,$B39),0)</f>
        <v/>
      </c>
      <c r="F39" s="30">
        <f>IF(C39=0,0,AVERAGEIFS(Vanzari!$J$2:$J$1001,Vanzari!$C$2:$C$1001,$A39,Vanzari!$D$2:$D$1001,$B39))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2026-10-05T07:22:54Z</dcterms:created>
  <dcterms:modified xsi:type="dcterms:W3CDTF">2026-10-05T07:22:54Z</dcterms:modified>
</cp:coreProperties>
</file>